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schuurmann/Desktop/"/>
    </mc:Choice>
  </mc:AlternateContent>
  <xr:revisionPtr revIDLastSave="0" documentId="13_ncr:1_{5B00EC43-E22F-4244-98E5-EC5B3CF515CD}" xr6:coauthVersionLast="47" xr6:coauthVersionMax="47" xr10:uidLastSave="{00000000-0000-0000-0000-000000000000}"/>
  <bookViews>
    <workbookView xWindow="28800" yWindow="600" windowWidth="38400" windowHeight="21000" xr2:uid="{8BC15E63-952E-2C41-B6E2-E5B66AF00FAD}"/>
  </bookViews>
  <sheets>
    <sheet name="Angel Roll Up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9" i="4" l="1"/>
  <c r="M114" i="4"/>
  <c r="K9" i="4"/>
  <c r="K38" i="4"/>
  <c r="M101" i="4"/>
  <c r="M77" i="4"/>
  <c r="M84" i="4" s="1"/>
  <c r="M96" i="4" s="1"/>
  <c r="H77" i="4"/>
  <c r="H84" i="4" s="1"/>
  <c r="M66" i="4"/>
  <c r="L66" i="4"/>
  <c r="L77" i="4" s="1"/>
  <c r="L84" i="4" s="1"/>
  <c r="K66" i="4"/>
  <c r="K77" i="4" s="1"/>
  <c r="K84" i="4" s="1"/>
  <c r="J66" i="4"/>
  <c r="J77" i="4" s="1"/>
  <c r="J84" i="4" s="1"/>
  <c r="I66" i="4"/>
  <c r="I77" i="4" s="1"/>
  <c r="I84" i="4" s="1"/>
  <c r="H66" i="4"/>
  <c r="M61" i="4"/>
  <c r="L61" i="4"/>
  <c r="K61" i="4"/>
  <c r="J61" i="4"/>
  <c r="I61" i="4"/>
  <c r="F40" i="4"/>
  <c r="F39" i="4"/>
  <c r="E22" i="4"/>
  <c r="K35" i="4" s="1"/>
  <c r="J20" i="4"/>
  <c r="H14" i="4"/>
  <c r="E24" i="4" s="1"/>
  <c r="B14" i="4"/>
  <c r="G13" i="4"/>
  <c r="F13" i="4"/>
  <c r="E13" i="4"/>
  <c r="D13" i="4"/>
  <c r="H12" i="4"/>
  <c r="B12" i="4"/>
  <c r="G11" i="4"/>
  <c r="F11" i="4"/>
  <c r="E11" i="4"/>
  <c r="D11" i="4"/>
  <c r="C11" i="4"/>
  <c r="C13" i="4" s="1"/>
  <c r="K10" i="4"/>
  <c r="E27" i="4"/>
  <c r="M98" i="4" s="1"/>
  <c r="H9" i="4"/>
  <c r="K8" i="4"/>
  <c r="G8" i="4"/>
  <c r="F8" i="4"/>
  <c r="E8" i="4"/>
  <c r="D8" i="4"/>
  <c r="C8" i="4"/>
  <c r="H13" i="4" l="1"/>
  <c r="H11" i="4" s="1"/>
  <c r="E20" i="4" s="1"/>
  <c r="H8" i="4"/>
  <c r="H10" i="4" s="1"/>
  <c r="I21" i="4"/>
  <c r="H49" i="4" s="1"/>
  <c r="H52" i="4" s="1"/>
  <c r="E19" i="4"/>
  <c r="E39" i="4" s="1"/>
  <c r="I22" i="4" l="1"/>
  <c r="H67" i="4" s="1"/>
  <c r="I24" i="4"/>
  <c r="H70" i="4" s="1"/>
  <c r="I23" i="4"/>
  <c r="H74" i="4" s="1"/>
  <c r="I20" i="4"/>
  <c r="H46" i="4" s="1"/>
  <c r="I46" i="4" s="1"/>
  <c r="J46" i="4" s="1"/>
  <c r="L35" i="4"/>
  <c r="L38" i="4"/>
  <c r="E21" i="4"/>
  <c r="E23" i="4" s="1"/>
  <c r="K36" i="4" s="1"/>
  <c r="H53" i="4" l="1"/>
  <c r="H68" i="4"/>
  <c r="I68" i="4" s="1"/>
  <c r="H50" i="4"/>
  <c r="I50" i="4" s="1"/>
  <c r="J50" i="4" s="1"/>
  <c r="K50" i="4" s="1"/>
  <c r="L50" i="4" s="1"/>
  <c r="M50" i="4" s="1"/>
  <c r="H75" i="4"/>
  <c r="I75" i="4" s="1"/>
  <c r="I47" i="4"/>
  <c r="H71" i="4"/>
  <c r="I71" i="4" s="1"/>
  <c r="J47" i="4"/>
  <c r="K46" i="4"/>
  <c r="M113" i="4"/>
  <c r="L36" i="4"/>
  <c r="L41" i="4" s="1"/>
  <c r="L19" i="4" s="1"/>
  <c r="F35" i="4" s="1"/>
  <c r="K41" i="4"/>
  <c r="J49" i="4" l="1"/>
  <c r="I49" i="4"/>
  <c r="I67" i="4"/>
  <c r="I79" i="4" s="1"/>
  <c r="J68" i="4"/>
  <c r="E35" i="4"/>
  <c r="F37" i="4"/>
  <c r="F41" i="4" s="1"/>
  <c r="J71" i="4"/>
  <c r="I70" i="4"/>
  <c r="I72" i="4" s="1"/>
  <c r="I81" i="4" s="1"/>
  <c r="I74" i="4"/>
  <c r="I80" i="4" s="1"/>
  <c r="J75" i="4"/>
  <c r="L46" i="4"/>
  <c r="K49" i="4"/>
  <c r="K47" i="4"/>
  <c r="M35" i="4"/>
  <c r="M38" i="4"/>
  <c r="M36" i="4"/>
  <c r="K68" i="4" l="1"/>
  <c r="J67" i="4"/>
  <c r="I52" i="4"/>
  <c r="I53" i="4" s="1"/>
  <c r="E37" i="4"/>
  <c r="E41" i="4" s="1"/>
  <c r="I86" i="4"/>
  <c r="I87" i="4" s="1"/>
  <c r="I55" i="4" s="1"/>
  <c r="I57" i="4" s="1"/>
  <c r="I58" i="4" s="1"/>
  <c r="K75" i="4"/>
  <c r="J74" i="4"/>
  <c r="J80" i="4" s="1"/>
  <c r="J70" i="4"/>
  <c r="J72" i="4" s="1"/>
  <c r="J81" i="4" s="1"/>
  <c r="K71" i="4"/>
  <c r="M46" i="4"/>
  <c r="L47" i="4"/>
  <c r="L49" i="4"/>
  <c r="M41" i="4"/>
  <c r="I60" i="4" l="1"/>
  <c r="I63" i="4" s="1"/>
  <c r="J79" i="4"/>
  <c r="J52" i="4"/>
  <c r="J53" i="4" s="1"/>
  <c r="L68" i="4"/>
  <c r="K67" i="4"/>
  <c r="G40" i="4"/>
  <c r="G35" i="4"/>
  <c r="G37" i="4" s="1"/>
  <c r="G39" i="4"/>
  <c r="L71" i="4"/>
  <c r="K70" i="4"/>
  <c r="K72" i="4" s="1"/>
  <c r="K81" i="4" s="1"/>
  <c r="L75" i="4"/>
  <c r="K74" i="4"/>
  <c r="K80" i="4" s="1"/>
  <c r="I64" i="4"/>
  <c r="I78" i="4"/>
  <c r="I82" i="4" s="1"/>
  <c r="I88" i="4" s="1"/>
  <c r="I89" i="4" s="1"/>
  <c r="J86" i="4" s="1"/>
  <c r="M47" i="4"/>
  <c r="M49" i="4"/>
  <c r="G41" i="4" l="1"/>
  <c r="K79" i="4"/>
  <c r="K52" i="4"/>
  <c r="K53" i="4" s="1"/>
  <c r="L67" i="4"/>
  <c r="M68" i="4"/>
  <c r="M67" i="4" s="1"/>
  <c r="M79" i="4" s="1"/>
  <c r="L74" i="4"/>
  <c r="L80" i="4" s="1"/>
  <c r="M75" i="4"/>
  <c r="M74" i="4" s="1"/>
  <c r="M80" i="4" s="1"/>
  <c r="M71" i="4"/>
  <c r="M70" i="4" s="1"/>
  <c r="L70" i="4"/>
  <c r="L72" i="4" s="1"/>
  <c r="L81" i="4" s="1"/>
  <c r="M52" i="4"/>
  <c r="M97" i="4"/>
  <c r="M99" i="4" s="1"/>
  <c r="J87" i="4"/>
  <c r="J55" i="4" s="1"/>
  <c r="J57" i="4" s="1"/>
  <c r="L79" i="4" l="1"/>
  <c r="L52" i="4"/>
  <c r="L53" i="4" s="1"/>
  <c r="M72" i="4"/>
  <c r="M81" i="4" s="1"/>
  <c r="J58" i="4"/>
  <c r="J60" i="4"/>
  <c r="J63" i="4" s="1"/>
  <c r="M111" i="4"/>
  <c r="M53" i="4"/>
  <c r="J78" i="4" l="1"/>
  <c r="J82" i="4" s="1"/>
  <c r="J88" i="4" s="1"/>
  <c r="J89" i="4" s="1"/>
  <c r="K86" i="4" s="1"/>
  <c r="J64" i="4"/>
  <c r="K87" i="4" l="1"/>
  <c r="K55" i="4" s="1"/>
  <c r="K57" i="4" s="1"/>
  <c r="K58" i="4" l="1"/>
  <c r="K60" i="4"/>
  <c r="K63" i="4" s="1"/>
  <c r="K64" i="4" l="1"/>
  <c r="K78" i="4"/>
  <c r="K82" i="4" s="1"/>
  <c r="K88" i="4" s="1"/>
  <c r="K89" i="4" s="1"/>
  <c r="L86" i="4" s="1"/>
  <c r="L87" i="4" l="1"/>
  <c r="L55" i="4" s="1"/>
  <c r="L57" i="4" s="1"/>
  <c r="L60" i="4" l="1"/>
  <c r="L58" i="4"/>
  <c r="L63" i="4"/>
  <c r="L78" i="4" l="1"/>
  <c r="L82" i="4" s="1"/>
  <c r="L88" i="4" s="1"/>
  <c r="L89" i="4" s="1"/>
  <c r="M86" i="4" s="1"/>
  <c r="L64" i="4"/>
  <c r="M87" i="4" l="1"/>
  <c r="M55" i="4" s="1"/>
  <c r="M57" i="4" s="1"/>
  <c r="M58" i="4" l="1"/>
  <c r="M60" i="4"/>
  <c r="M63" i="4"/>
  <c r="M78" i="4" l="1"/>
  <c r="M82" i="4" s="1"/>
  <c r="N89" i="4" s="1"/>
  <c r="M102" i="4" s="1"/>
  <c r="M64" i="4"/>
  <c r="M103" i="4" l="1"/>
  <c r="M112" i="4"/>
  <c r="M88" i="4"/>
  <c r="M89" i="4" s="1"/>
  <c r="M116" i="4" l="1"/>
  <c r="M117" i="4" s="1"/>
  <c r="M29" i="4"/>
  <c r="M107" i="4"/>
  <c r="M108" i="4" l="1"/>
  <c r="M27" i="4" s="1"/>
  <c r="M28" i="4"/>
</calcChain>
</file>

<file path=xl/sharedStrings.xml><?xml version="1.0" encoding="utf-8"?>
<sst xmlns="http://schemas.openxmlformats.org/spreadsheetml/2006/main" count="143" uniqueCount="99">
  <si>
    <t>Assumptions</t>
  </si>
  <si>
    <t xml:space="preserve">Financials </t>
  </si>
  <si>
    <t>Capital Structure</t>
  </si>
  <si>
    <t xml:space="preserve">Amount </t>
  </si>
  <si>
    <t>Cost</t>
  </si>
  <si>
    <t xml:space="preserve">LTM EBITDA </t>
  </si>
  <si>
    <t xml:space="preserve">LTM Financials </t>
  </si>
  <si>
    <t>Bank Debt</t>
  </si>
  <si>
    <t>EBITDA Multiple</t>
  </si>
  <si>
    <t xml:space="preserve">Revenue </t>
  </si>
  <si>
    <t xml:space="preserve">Senior Notes </t>
  </si>
  <si>
    <t xml:space="preserve">Enterprise Value </t>
  </si>
  <si>
    <t xml:space="preserve">EBITDA </t>
  </si>
  <si>
    <t>D&amp;A</t>
  </si>
  <si>
    <t xml:space="preserve">Equity Value </t>
  </si>
  <si>
    <t>CapEx</t>
  </si>
  <si>
    <t>IRR</t>
  </si>
  <si>
    <t>NWC</t>
  </si>
  <si>
    <t xml:space="preserve">Fees &amp; Expenses </t>
  </si>
  <si>
    <t>Operating Assumptions</t>
  </si>
  <si>
    <t xml:space="preserve">Revenue Growth </t>
  </si>
  <si>
    <t xml:space="preserve">YoY margin expansion </t>
  </si>
  <si>
    <t xml:space="preserve">Tax Rate </t>
  </si>
  <si>
    <t xml:space="preserve">Sources &amp; Uses </t>
  </si>
  <si>
    <t xml:space="preserve">Sources </t>
  </si>
  <si>
    <t xml:space="preserve">Uses </t>
  </si>
  <si>
    <t>xEBITDA</t>
  </si>
  <si>
    <t xml:space="preserve">%Capital </t>
  </si>
  <si>
    <t xml:space="preserve">Bank Debt </t>
  </si>
  <si>
    <t xml:space="preserve">Debt Retirement </t>
  </si>
  <si>
    <t xml:space="preserve">Equity Payment </t>
  </si>
  <si>
    <t xml:space="preserve">Total Debt </t>
  </si>
  <si>
    <t xml:space="preserve">Total Souces </t>
  </si>
  <si>
    <t xml:space="preserve">Total Uses </t>
  </si>
  <si>
    <t xml:space="preserve">Operating Model </t>
  </si>
  <si>
    <t>Y0</t>
  </si>
  <si>
    <t>Y1</t>
  </si>
  <si>
    <t>Y2</t>
  </si>
  <si>
    <t>Y3</t>
  </si>
  <si>
    <t>Y4</t>
  </si>
  <si>
    <t>Y5</t>
  </si>
  <si>
    <t xml:space="preserve">% growth </t>
  </si>
  <si>
    <t>EBITDA</t>
  </si>
  <si>
    <t>% of sales</t>
  </si>
  <si>
    <t>EBIT</t>
  </si>
  <si>
    <t xml:space="preserve">Interest </t>
  </si>
  <si>
    <t>EBT</t>
  </si>
  <si>
    <t xml:space="preserve">Taxes </t>
  </si>
  <si>
    <t>% tax rate</t>
  </si>
  <si>
    <t xml:space="preserve">Net Income </t>
  </si>
  <si>
    <t xml:space="preserve">% of sales </t>
  </si>
  <si>
    <t xml:space="preserve">Cash Flow Items </t>
  </si>
  <si>
    <t xml:space="preserve">D&amp;A </t>
  </si>
  <si>
    <t xml:space="preserve">Net Working Capital </t>
  </si>
  <si>
    <t xml:space="preserve">Change in NWC </t>
  </si>
  <si>
    <t xml:space="preserve">CapEx </t>
  </si>
  <si>
    <t xml:space="preserve">Leverd Cash Flow </t>
  </si>
  <si>
    <t>Change in NWC</t>
  </si>
  <si>
    <t>Levered Free Cashflow</t>
  </si>
  <si>
    <t xml:space="preserve">Debt Schedule </t>
  </si>
  <si>
    <t xml:space="preserve">Beginning Balance </t>
  </si>
  <si>
    <t xml:space="preserve">Paydown </t>
  </si>
  <si>
    <t xml:space="preserve">Ending Balance </t>
  </si>
  <si>
    <t>LTM EBITDA at Exit</t>
  </si>
  <si>
    <t>Exit Muliple</t>
  </si>
  <si>
    <t>Enterprise Value</t>
  </si>
  <si>
    <t>Net Debt</t>
  </si>
  <si>
    <t>MOIC</t>
  </si>
  <si>
    <t xml:space="preserve">Existing Net Debt </t>
  </si>
  <si>
    <t xml:space="preserve"> -&gt;</t>
  </si>
  <si>
    <t xml:space="preserve">Vendor Loan </t>
  </si>
  <si>
    <t>Sponsors Equity at Entry (obgliatorische 1TEUR)</t>
  </si>
  <si>
    <t xml:space="preserve">Sponsors Equity </t>
  </si>
  <si>
    <t>Bank Debt (Sparkasse Wuppertal)</t>
  </si>
  <si>
    <t>Fill in -&gt;</t>
  </si>
  <si>
    <t xml:space="preserve">Muliple </t>
  </si>
  <si>
    <t>EV</t>
  </si>
  <si>
    <t xml:space="preserve">Micro </t>
  </si>
  <si>
    <t xml:space="preserve">Small Cap </t>
  </si>
  <si>
    <t xml:space="preserve">Delta </t>
  </si>
  <si>
    <t>MEUR</t>
  </si>
  <si>
    <t>Roll-up von Micro (&lt; 5 Mio. EBITDA) zu Small (5–50 Mio. EBITDA)</t>
  </si>
  <si>
    <t>Wir konsolidieren direkt im LBO, d. h. die Verhandlungen sind bereits abgeschlossen und wir fusionieren unmittelbar</t>
  </si>
  <si>
    <t xml:space="preserve">Group </t>
  </si>
  <si>
    <t>Entry</t>
  </si>
  <si>
    <t xml:space="preserve">Exit </t>
  </si>
  <si>
    <t>Angel Syndicate</t>
  </si>
  <si>
    <t>*EBITDA-Multiples</t>
  </si>
  <si>
    <t>*Handel: Groß- &amp; Einzelhandel (Stationär) = Bäkerein https://www.dub.de/kmu-multiples/</t>
  </si>
  <si>
    <t>Equity Value after Angel Syndicate Exit</t>
  </si>
  <si>
    <t xml:space="preserve">Angel Syndicate Performace </t>
  </si>
  <si>
    <t>Personal Performance</t>
  </si>
  <si>
    <t xml:space="preserve">Shares </t>
  </si>
  <si>
    <t xml:space="preserve">Equity Share </t>
  </si>
  <si>
    <t xml:space="preserve">Injection </t>
  </si>
  <si>
    <t>Check</t>
  </si>
  <si>
    <t>Syndicate kriegt 30% der Anteile, wir brauchen Angels um EK einzusammeln (Sponsor Equity 1k)</t>
  </si>
  <si>
    <t>&lt;- Überschuss</t>
  </si>
  <si>
    <t xml:space="preserve">In Equity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</si>
</sst>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x0.0"/>
    <numFmt numFmtId="165" formatCode="0.0%"/>
    <numFmt numFmtId="167" formatCode="#,##0.000"/>
    <numFmt numFmtId="168" formatCode="\x0.00"/>
  </numFmts>
  <fonts count="8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u/>
      <sz val="12"/>
      <color theme="0"/>
      <name val="Aptos Narrow"/>
      <family val="2"/>
      <scheme val="minor"/>
    </font>
    <font>
      <i/>
      <sz val="12"/>
      <color theme="0"/>
      <name val="Aptos Narrow"/>
      <scheme val="minor"/>
    </font>
    <font>
      <b/>
      <i/>
      <sz val="12"/>
      <color theme="0"/>
      <name val="Aptos Narrow"/>
      <scheme val="minor"/>
    </font>
    <font>
      <b/>
      <i/>
      <sz val="12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 applyAlignment="1">
      <alignment horizontal="right"/>
    </xf>
    <xf numFmtId="0" fontId="3" fillId="3" borderId="0" xfId="0" applyFont="1" applyFill="1"/>
    <xf numFmtId="0" fontId="4" fillId="3" borderId="0" xfId="0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3" fontId="1" fillId="3" borderId="0" xfId="0" applyNumberFormat="1" applyFont="1" applyFill="1"/>
    <xf numFmtId="0" fontId="4" fillId="3" borderId="0" xfId="0" applyFont="1" applyFill="1" applyAlignment="1">
      <alignment horizontal="right"/>
    </xf>
    <xf numFmtId="3" fontId="2" fillId="3" borderId="0" xfId="0" applyNumberFormat="1" applyFont="1" applyFill="1"/>
    <xf numFmtId="0" fontId="1" fillId="3" borderId="0" xfId="0" applyFont="1" applyFill="1" applyAlignment="1">
      <alignment horizontal="left" indent="1"/>
    </xf>
    <xf numFmtId="0" fontId="1" fillId="3" borderId="0" xfId="0" applyFont="1" applyFill="1" applyAlignment="1">
      <alignment horizontal="left"/>
    </xf>
    <xf numFmtId="0" fontId="2" fillId="5" borderId="0" xfId="0" applyFont="1" applyFill="1"/>
    <xf numFmtId="0" fontId="2" fillId="5" borderId="0" xfId="0" applyFont="1" applyFill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4" borderId="0" xfId="0" applyFont="1" applyFill="1"/>
    <xf numFmtId="0" fontId="3" fillId="3" borderId="0" xfId="0" applyFont="1" applyFill="1" applyAlignment="1">
      <alignment horizontal="left" indent="1"/>
    </xf>
    <xf numFmtId="0" fontId="5" fillId="2" borderId="0" xfId="0" applyFont="1" applyFill="1"/>
    <xf numFmtId="0" fontId="1" fillId="3" borderId="0" xfId="0" applyFont="1" applyFill="1" applyAlignment="1">
      <alignment horizontal="right"/>
    </xf>
    <xf numFmtId="1" fontId="1" fillId="3" borderId="0" xfId="0" applyNumberFormat="1" applyFont="1" applyFill="1"/>
    <xf numFmtId="165" fontId="1" fillId="3" borderId="0" xfId="0" applyNumberFormat="1" applyFont="1" applyFill="1" applyAlignment="1">
      <alignment horizontal="right"/>
    </xf>
    <xf numFmtId="164" fontId="2" fillId="5" borderId="0" xfId="0" applyNumberFormat="1" applyFont="1" applyFill="1"/>
    <xf numFmtId="165" fontId="2" fillId="5" borderId="0" xfId="0" applyNumberFormat="1" applyFont="1" applyFill="1"/>
    <xf numFmtId="165" fontId="1" fillId="5" borderId="0" xfId="0" applyNumberFormat="1" applyFont="1" applyFill="1"/>
    <xf numFmtId="164" fontId="1" fillId="5" borderId="0" xfId="0" applyNumberFormat="1" applyFont="1" applyFill="1"/>
    <xf numFmtId="0" fontId="2" fillId="2" borderId="0" xfId="0" applyFont="1" applyFill="1" applyAlignment="1">
      <alignment horizontal="left" indent="1"/>
    </xf>
    <xf numFmtId="0" fontId="5" fillId="3" borderId="0" xfId="0" applyFont="1" applyFill="1" applyAlignment="1">
      <alignment horizontal="left"/>
    </xf>
    <xf numFmtId="0" fontId="5" fillId="3" borderId="0" xfId="0" applyFont="1" applyFill="1"/>
    <xf numFmtId="3" fontId="5" fillId="3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left" indent="1"/>
    </xf>
    <xf numFmtId="3" fontId="6" fillId="3" borderId="0" xfId="0" applyNumberFormat="1" applyFont="1" applyFill="1"/>
    <xf numFmtId="3" fontId="6" fillId="3" borderId="0" xfId="0" applyNumberFormat="1" applyFont="1" applyFill="1" applyAlignment="1">
      <alignment horizontal="right"/>
    </xf>
    <xf numFmtId="165" fontId="5" fillId="3" borderId="0" xfId="0" applyNumberFormat="1" applyFont="1" applyFill="1"/>
    <xf numFmtId="0" fontId="3" fillId="2" borderId="0" xfId="0" applyFont="1" applyFill="1"/>
    <xf numFmtId="0" fontId="6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7" fillId="2" borderId="0" xfId="0" applyFont="1" applyFill="1"/>
    <xf numFmtId="0" fontId="0" fillId="3" borderId="0" xfId="0" applyFill="1"/>
    <xf numFmtId="4" fontId="1" fillId="3" borderId="0" xfId="0" applyNumberFormat="1" applyFont="1" applyFill="1"/>
    <xf numFmtId="2" fontId="1" fillId="3" borderId="0" xfId="0" applyNumberFormat="1" applyFont="1" applyFill="1"/>
    <xf numFmtId="4" fontId="2" fillId="3" borderId="0" xfId="0" applyNumberFormat="1" applyFont="1" applyFill="1" applyAlignment="1">
      <alignment horizontal="right"/>
    </xf>
    <xf numFmtId="4" fontId="2" fillId="3" borderId="0" xfId="0" applyNumberFormat="1" applyFont="1" applyFill="1"/>
    <xf numFmtId="2" fontId="2" fillId="3" borderId="0" xfId="0" applyNumberFormat="1" applyFont="1" applyFill="1"/>
    <xf numFmtId="4" fontId="3" fillId="3" borderId="0" xfId="0" applyNumberFormat="1" applyFont="1" applyFill="1"/>
    <xf numFmtId="167" fontId="1" fillId="3" borderId="0" xfId="0" applyNumberFormat="1" applyFont="1" applyFill="1"/>
    <xf numFmtId="10" fontId="5" fillId="3" borderId="0" xfId="0" applyNumberFormat="1" applyFont="1" applyFill="1"/>
    <xf numFmtId="168" fontId="1" fillId="3" borderId="0" xfId="0" applyNumberFormat="1" applyFont="1" applyFill="1"/>
    <xf numFmtId="168" fontId="1" fillId="3" borderId="0" xfId="0" applyNumberFormat="1" applyFont="1" applyFill="1" applyAlignment="1">
      <alignment horizontal="right"/>
    </xf>
    <xf numFmtId="168" fontId="3" fillId="3" borderId="0" xfId="0" applyNumberFormat="1" applyFont="1" applyFill="1"/>
    <xf numFmtId="2" fontId="5" fillId="3" borderId="0" xfId="0" applyNumberFormat="1" applyFont="1" applyFill="1"/>
    <xf numFmtId="10" fontId="1" fillId="2" borderId="0" xfId="0" applyNumberFormat="1" applyFont="1" applyFill="1"/>
    <xf numFmtId="2" fontId="1" fillId="3" borderId="0" xfId="0" applyNumberFormat="1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84CF-C9A7-4C42-8F09-64A77E8CBFEC}">
  <dimension ref="B2:Q119"/>
  <sheetViews>
    <sheetView tabSelected="1" zoomScale="132" zoomScaleNormal="132" workbookViewId="0">
      <selection activeCell="Q103" sqref="Q103"/>
    </sheetView>
  </sheetViews>
  <sheetFormatPr baseColWidth="10" defaultRowHeight="16" x14ac:dyDescent="0.2"/>
  <cols>
    <col min="1" max="1" width="4" style="3" customWidth="1"/>
    <col min="2" max="16384" width="10.83203125" style="3"/>
  </cols>
  <sheetData>
    <row r="2" spans="2:13" x14ac:dyDescent="0.2">
      <c r="B2" s="3" t="s">
        <v>81</v>
      </c>
    </row>
    <row r="3" spans="2:13" x14ac:dyDescent="0.2">
      <c r="B3" s="3" t="s">
        <v>96</v>
      </c>
    </row>
    <row r="4" spans="2:13" x14ac:dyDescent="0.2">
      <c r="B4" s="3" t="s">
        <v>88</v>
      </c>
      <c r="K4" s="41"/>
      <c r="L4" s="41"/>
    </row>
    <row r="5" spans="2:13" x14ac:dyDescent="0.2">
      <c r="B5" s="3" t="s">
        <v>82</v>
      </c>
    </row>
    <row r="7" spans="2:13" x14ac:dyDescent="0.2">
      <c r="B7" s="2" t="s">
        <v>80</v>
      </c>
      <c r="C7" s="1">
        <v>1</v>
      </c>
      <c r="D7" s="1">
        <v>2</v>
      </c>
      <c r="E7" s="1">
        <v>3</v>
      </c>
      <c r="F7" s="1">
        <v>4</v>
      </c>
      <c r="G7" s="1">
        <v>5</v>
      </c>
      <c r="H7" s="4" t="s">
        <v>83</v>
      </c>
      <c r="J7" s="2" t="s">
        <v>87</v>
      </c>
      <c r="K7" s="2"/>
    </row>
    <row r="8" spans="2:13" x14ac:dyDescent="0.2">
      <c r="B8" s="3" t="s">
        <v>9</v>
      </c>
      <c r="C8" s="42">
        <f>(1/C10)*C9</f>
        <v>3.75</v>
      </c>
      <c r="D8" s="42">
        <f t="shared" ref="D8:G8" si="0">(1/D10)*D9</f>
        <v>3.3333333333333339</v>
      </c>
      <c r="E8" s="42">
        <f t="shared" si="0"/>
        <v>2.666666666666667</v>
      </c>
      <c r="F8" s="42">
        <f t="shared" si="0"/>
        <v>5</v>
      </c>
      <c r="G8" s="42">
        <f t="shared" si="0"/>
        <v>3.9130434782608696</v>
      </c>
      <c r="H8" s="42">
        <f>SUM(C8:G8)</f>
        <v>18.663043478260871</v>
      </c>
      <c r="J8" s="3" t="s">
        <v>77</v>
      </c>
      <c r="K8" s="50">
        <f>(3+4.5)/2</f>
        <v>3.75</v>
      </c>
    </row>
    <row r="9" spans="2:13" x14ac:dyDescent="0.2">
      <c r="B9" s="3" t="s">
        <v>12</v>
      </c>
      <c r="C9" s="42">
        <v>0.3</v>
      </c>
      <c r="D9" s="42">
        <v>0.4</v>
      </c>
      <c r="E9" s="42">
        <v>0.4</v>
      </c>
      <c r="F9" s="42">
        <v>0.5</v>
      </c>
      <c r="G9" s="42">
        <v>0.45</v>
      </c>
      <c r="H9" s="42">
        <f>SUM(C9:G9)</f>
        <v>2.0500000000000003</v>
      </c>
      <c r="J9" s="3" t="s">
        <v>78</v>
      </c>
      <c r="K9" s="50">
        <f>(4.4+5.5)/2</f>
        <v>4.95</v>
      </c>
    </row>
    <row r="10" spans="2:13" x14ac:dyDescent="0.2">
      <c r="B10" s="12" t="s">
        <v>50</v>
      </c>
      <c r="C10" s="8">
        <v>0.08</v>
      </c>
      <c r="D10" s="8">
        <v>0.12</v>
      </c>
      <c r="E10" s="8">
        <v>0.15</v>
      </c>
      <c r="F10" s="8">
        <v>0.1</v>
      </c>
      <c r="G10" s="8">
        <v>0.115</v>
      </c>
      <c r="H10" s="8">
        <f>H9/H8</f>
        <v>0.10984274898078043</v>
      </c>
      <c r="J10" s="3" t="s">
        <v>79</v>
      </c>
      <c r="K10" s="50">
        <f>K9-K8</f>
        <v>1.2000000000000002</v>
      </c>
    </row>
    <row r="11" spans="2:13" x14ac:dyDescent="0.2">
      <c r="B11" s="3" t="s">
        <v>75</v>
      </c>
      <c r="C11" s="7">
        <f>$K$8</f>
        <v>3.75</v>
      </c>
      <c r="D11" s="7">
        <f t="shared" ref="D11:G11" si="1">$K$8</f>
        <v>3.75</v>
      </c>
      <c r="E11" s="7">
        <f t="shared" si="1"/>
        <v>3.75</v>
      </c>
      <c r="F11" s="7">
        <f t="shared" si="1"/>
        <v>3.75</v>
      </c>
      <c r="G11" s="7">
        <f t="shared" si="1"/>
        <v>3.75</v>
      </c>
      <c r="H11" s="7">
        <f>H13/H9</f>
        <v>3.7499999999999996</v>
      </c>
    </row>
    <row r="12" spans="2:13" x14ac:dyDescent="0.2">
      <c r="B12" s="3" t="str">
        <f>B22</f>
        <v xml:space="preserve">Existing Net Debt </v>
      </c>
      <c r="C12" s="43">
        <v>0.15</v>
      </c>
      <c r="D12" s="43">
        <v>0.1</v>
      </c>
      <c r="E12" s="43">
        <v>0.05</v>
      </c>
      <c r="F12" s="43">
        <v>0.15</v>
      </c>
      <c r="G12" s="43">
        <v>0.09</v>
      </c>
      <c r="H12" s="43">
        <f>SUM(C12:G12)</f>
        <v>0.53999999999999992</v>
      </c>
    </row>
    <row r="13" spans="2:13" x14ac:dyDescent="0.2">
      <c r="B13" s="3" t="s">
        <v>76</v>
      </c>
      <c r="C13" s="43">
        <f>C11*C9</f>
        <v>1.125</v>
      </c>
      <c r="D13" s="43">
        <f t="shared" ref="D13:G13" si="2">D11*D9</f>
        <v>1.5</v>
      </c>
      <c r="E13" s="43">
        <f t="shared" si="2"/>
        <v>1.5</v>
      </c>
      <c r="F13" s="43">
        <f t="shared" si="2"/>
        <v>1.875</v>
      </c>
      <c r="G13" s="43">
        <f t="shared" si="2"/>
        <v>1.6875</v>
      </c>
      <c r="H13" s="43">
        <f>SUM(C13:G13)</f>
        <v>7.6875</v>
      </c>
    </row>
    <row r="14" spans="2:13" x14ac:dyDescent="0.2">
      <c r="B14" s="3" t="str">
        <f>B24</f>
        <v xml:space="preserve">Fees &amp; Expenses </v>
      </c>
      <c r="C14" s="43">
        <v>0.01</v>
      </c>
      <c r="D14" s="43">
        <v>0.01</v>
      </c>
      <c r="E14" s="43">
        <v>0.01</v>
      </c>
      <c r="F14" s="43">
        <v>0.01</v>
      </c>
      <c r="G14" s="43">
        <v>0.01</v>
      </c>
      <c r="H14" s="43">
        <f>SUM(C14:G14)</f>
        <v>0.05</v>
      </c>
    </row>
    <row r="16" spans="2:13" x14ac:dyDescent="0.2">
      <c r="B16" s="1" t="s">
        <v>0</v>
      </c>
      <c r="C16" s="2"/>
      <c r="D16" s="20"/>
      <c r="E16" s="20"/>
      <c r="F16" s="40"/>
      <c r="G16" s="20"/>
      <c r="H16" s="2"/>
      <c r="I16" s="2"/>
      <c r="J16" s="2"/>
      <c r="K16" s="2"/>
      <c r="L16" s="2"/>
      <c r="M16" s="36"/>
    </row>
    <row r="18" spans="2:13" x14ac:dyDescent="0.2">
      <c r="B18" s="1" t="s">
        <v>84</v>
      </c>
      <c r="C18" s="2"/>
      <c r="D18" s="39" t="s">
        <v>74</v>
      </c>
      <c r="E18" s="2"/>
      <c r="F18" s="1" t="s">
        <v>1</v>
      </c>
      <c r="G18" s="2"/>
      <c r="H18" s="2"/>
      <c r="I18" s="2"/>
      <c r="J18" s="1" t="s">
        <v>2</v>
      </c>
      <c r="K18" s="2"/>
      <c r="L18" s="4" t="s">
        <v>3</v>
      </c>
      <c r="M18" s="4" t="s">
        <v>4</v>
      </c>
    </row>
    <row r="19" spans="2:13" x14ac:dyDescent="0.2">
      <c r="B19" s="5" t="s">
        <v>5</v>
      </c>
      <c r="D19" s="21" t="s">
        <v>69</v>
      </c>
      <c r="E19" s="42">
        <f>H9</f>
        <v>2.0500000000000003</v>
      </c>
      <c r="F19" s="6" t="s">
        <v>6</v>
      </c>
      <c r="J19" s="3" t="s">
        <v>7</v>
      </c>
      <c r="K19" s="21"/>
      <c r="L19" s="50">
        <f>L41-L20</f>
        <v>2.5243902439024382</v>
      </c>
      <c r="M19" s="8">
        <v>0.06</v>
      </c>
    </row>
    <row r="20" spans="2:13" x14ac:dyDescent="0.2">
      <c r="B20" s="5" t="s">
        <v>8</v>
      </c>
      <c r="D20" s="21" t="s">
        <v>69</v>
      </c>
      <c r="E20" s="50">
        <f>H11</f>
        <v>3.7499999999999996</v>
      </c>
      <c r="F20" s="3" t="s">
        <v>9</v>
      </c>
      <c r="H20" s="21" t="s">
        <v>69</v>
      </c>
      <c r="I20" s="42">
        <f>H8</f>
        <v>18.663043478260871</v>
      </c>
      <c r="J20" s="3" t="str">
        <f>B39</f>
        <v>Angel Syndicate</v>
      </c>
      <c r="K20" s="21" t="s">
        <v>69</v>
      </c>
      <c r="L20" s="51">
        <v>1.25</v>
      </c>
      <c r="M20" s="23">
        <v>0</v>
      </c>
    </row>
    <row r="21" spans="2:13" x14ac:dyDescent="0.2">
      <c r="B21" s="5" t="s">
        <v>11</v>
      </c>
      <c r="E21" s="43">
        <f>E20*E19</f>
        <v>7.6875</v>
      </c>
      <c r="F21" s="3" t="s">
        <v>12</v>
      </c>
      <c r="H21" s="21" t="s">
        <v>69</v>
      </c>
      <c r="I21" s="42">
        <f>H9</f>
        <v>2.0500000000000003</v>
      </c>
    </row>
    <row r="22" spans="2:13" x14ac:dyDescent="0.2">
      <c r="B22" s="5" t="s">
        <v>68</v>
      </c>
      <c r="D22" s="21" t="s">
        <v>69</v>
      </c>
      <c r="E22" s="42">
        <f>H12</f>
        <v>0.53999999999999992</v>
      </c>
      <c r="F22" s="3" t="s">
        <v>13</v>
      </c>
      <c r="H22" s="21" t="s">
        <v>69</v>
      </c>
      <c r="I22" s="42">
        <f>0.05*H8</f>
        <v>0.93315217391304361</v>
      </c>
      <c r="J22" s="16"/>
      <c r="L22" s="17"/>
      <c r="M22" s="17"/>
    </row>
    <row r="23" spans="2:13" x14ac:dyDescent="0.2">
      <c r="B23" s="5" t="s">
        <v>14</v>
      </c>
      <c r="E23" s="42">
        <f>E21-E22</f>
        <v>7.1475</v>
      </c>
      <c r="F23" s="3" t="s">
        <v>15</v>
      </c>
      <c r="H23" s="21" t="s">
        <v>69</v>
      </c>
      <c r="I23" s="42">
        <f>H8*0.055</f>
        <v>1.0264673913043478</v>
      </c>
      <c r="M23" s="8"/>
    </row>
    <row r="24" spans="2:13" x14ac:dyDescent="0.2">
      <c r="B24" s="3" t="s">
        <v>18</v>
      </c>
      <c r="E24" s="42">
        <f>H14</f>
        <v>0.05</v>
      </c>
      <c r="F24" s="3" t="s">
        <v>17</v>
      </c>
      <c r="H24" s="21" t="s">
        <v>69</v>
      </c>
      <c r="I24" s="42">
        <f>0.02*H8</f>
        <v>0.37326086956521742</v>
      </c>
    </row>
    <row r="25" spans="2:13" x14ac:dyDescent="0.2">
      <c r="E25" s="9"/>
    </row>
    <row r="26" spans="2:13" x14ac:dyDescent="0.2">
      <c r="B26" s="18" t="s">
        <v>85</v>
      </c>
      <c r="C26" s="2"/>
      <c r="D26" s="2"/>
      <c r="E26" s="2"/>
      <c r="F26" s="1" t="s">
        <v>19</v>
      </c>
      <c r="G26" s="2"/>
      <c r="H26" s="2"/>
      <c r="I26" s="2"/>
      <c r="J26" s="1" t="s">
        <v>91</v>
      </c>
      <c r="K26" s="2"/>
      <c r="L26" s="4"/>
      <c r="M26" s="4"/>
    </row>
    <row r="27" spans="2:13" x14ac:dyDescent="0.2">
      <c r="B27" s="5" t="s">
        <v>8</v>
      </c>
      <c r="E27" s="50">
        <f>K9</f>
        <v>4.95</v>
      </c>
      <c r="F27" s="3" t="s">
        <v>20</v>
      </c>
      <c r="H27" s="21" t="s">
        <v>69</v>
      </c>
      <c r="I27" s="8">
        <v>0.05</v>
      </c>
      <c r="J27" s="3" t="s">
        <v>16</v>
      </c>
      <c r="M27" s="26">
        <f>M108</f>
        <v>5.9620386502265905</v>
      </c>
    </row>
    <row r="28" spans="2:13" x14ac:dyDescent="0.2">
      <c r="B28" s="5"/>
      <c r="E28" s="7"/>
      <c r="F28" s="3" t="s">
        <v>21</v>
      </c>
      <c r="H28" s="21" t="s">
        <v>69</v>
      </c>
      <c r="I28" s="8">
        <v>1.4999999999999999E-2</v>
      </c>
      <c r="J28" s="3" t="s">
        <v>67</v>
      </c>
      <c r="M28" s="27">
        <f>M107</f>
        <v>16356.190113036131</v>
      </c>
    </row>
    <row r="29" spans="2:13" x14ac:dyDescent="0.2">
      <c r="F29" s="3" t="s">
        <v>22</v>
      </c>
      <c r="H29" s="21" t="s">
        <v>69</v>
      </c>
      <c r="I29" s="8">
        <v>0.3</v>
      </c>
      <c r="J29" s="3" t="s">
        <v>89</v>
      </c>
      <c r="K29" s="30"/>
      <c r="L29" s="30"/>
      <c r="M29" s="53">
        <f>M103</f>
        <v>16.356190113036131</v>
      </c>
    </row>
    <row r="31" spans="2:13" x14ac:dyDescent="0.2">
      <c r="B31" s="1" t="s">
        <v>23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3" spans="2:13" x14ac:dyDescent="0.2">
      <c r="B33" s="1" t="s">
        <v>24</v>
      </c>
      <c r="C33" s="2"/>
      <c r="D33" s="2"/>
      <c r="E33" s="2"/>
      <c r="F33" s="2"/>
      <c r="G33" s="2"/>
      <c r="H33" s="28" t="s">
        <v>25</v>
      </c>
      <c r="I33" s="2"/>
      <c r="J33" s="2"/>
      <c r="K33" s="2"/>
      <c r="L33" s="2"/>
      <c r="M33" s="2"/>
    </row>
    <row r="34" spans="2:13" x14ac:dyDescent="0.2">
      <c r="E34" s="10" t="s">
        <v>3</v>
      </c>
      <c r="F34" s="10" t="s">
        <v>26</v>
      </c>
      <c r="G34" s="10" t="s">
        <v>27</v>
      </c>
      <c r="H34" s="12"/>
      <c r="K34" s="10" t="s">
        <v>3</v>
      </c>
      <c r="L34" s="10" t="s">
        <v>26</v>
      </c>
      <c r="M34" s="10" t="s">
        <v>27</v>
      </c>
    </row>
    <row r="35" spans="2:13" x14ac:dyDescent="0.2">
      <c r="B35" s="3" t="s">
        <v>73</v>
      </c>
      <c r="E35" s="42">
        <f>F35*E19</f>
        <v>5.1749999999999989</v>
      </c>
      <c r="F35" s="50">
        <f>L19</f>
        <v>2.5243902439024382</v>
      </c>
      <c r="G35" s="8">
        <f>E35/E41</f>
        <v>0.668734250823803</v>
      </c>
      <c r="H35" s="12" t="s">
        <v>29</v>
      </c>
      <c r="K35" s="42">
        <f>E22</f>
        <v>0.53999999999999992</v>
      </c>
      <c r="L35" s="50">
        <f>K35/E19</f>
        <v>0.26341463414634142</v>
      </c>
      <c r="M35" s="8">
        <f>K35/K41</f>
        <v>6.9789983844911141E-2</v>
      </c>
    </row>
    <row r="36" spans="2:13" x14ac:dyDescent="0.2">
      <c r="B36" s="3" t="s">
        <v>10</v>
      </c>
      <c r="E36" s="42">
        <v>0</v>
      </c>
      <c r="F36" s="50">
        <v>0</v>
      </c>
      <c r="G36" s="8">
        <v>0</v>
      </c>
      <c r="H36" s="12" t="s">
        <v>30</v>
      </c>
      <c r="K36" s="42">
        <f>E23</f>
        <v>7.1475</v>
      </c>
      <c r="L36" s="50">
        <f>K36/E19</f>
        <v>3.4865853658536579</v>
      </c>
      <c r="M36" s="8">
        <f>K36/K41</f>
        <v>0.9237479806138934</v>
      </c>
    </row>
    <row r="37" spans="2:13" x14ac:dyDescent="0.2">
      <c r="B37" s="3" t="s">
        <v>31</v>
      </c>
      <c r="E37" s="42">
        <f>E35</f>
        <v>5.1749999999999989</v>
      </c>
      <c r="F37" s="50">
        <f>SUM(F35:F36)</f>
        <v>2.5243902439024382</v>
      </c>
      <c r="G37" s="8">
        <f>SUM(G35:G36)</f>
        <v>0.668734250823803</v>
      </c>
      <c r="H37" s="12"/>
      <c r="K37" s="42"/>
      <c r="L37" s="50"/>
      <c r="M37" s="8"/>
    </row>
    <row r="38" spans="2:13" x14ac:dyDescent="0.2">
      <c r="E38" s="42"/>
      <c r="F38" s="50"/>
      <c r="G38" s="8"/>
      <c r="H38" s="12" t="s">
        <v>18</v>
      </c>
      <c r="K38" s="42">
        <f>E24</f>
        <v>0.05</v>
      </c>
      <c r="L38" s="50">
        <f>K38/E19</f>
        <v>2.4390243902439022E-2</v>
      </c>
      <c r="M38" s="8">
        <f>K38/K41</f>
        <v>6.462035541195477E-3</v>
      </c>
    </row>
    <row r="39" spans="2:13" x14ac:dyDescent="0.2">
      <c r="B39" s="5" t="s">
        <v>86</v>
      </c>
      <c r="C39" s="5"/>
      <c r="D39" s="5"/>
      <c r="E39" s="47">
        <f>F39*E19</f>
        <v>2.5625000000000004</v>
      </c>
      <c r="F39" s="52">
        <f>L20</f>
        <v>1.25</v>
      </c>
      <c r="G39" s="35">
        <f>E39/E41</f>
        <v>0.33113652516637598</v>
      </c>
      <c r="H39" s="12"/>
      <c r="K39" s="42"/>
      <c r="L39" s="50"/>
      <c r="M39" s="8"/>
    </row>
    <row r="40" spans="2:13" x14ac:dyDescent="0.2">
      <c r="B40" s="3" t="s">
        <v>72</v>
      </c>
      <c r="D40" s="42"/>
      <c r="E40" s="48">
        <v>1E-3</v>
      </c>
      <c r="F40" s="52">
        <f>L21</f>
        <v>0</v>
      </c>
      <c r="G40" s="49">
        <f>E40/E41</f>
        <v>1.2922400982102477E-4</v>
      </c>
      <c r="H40" s="12"/>
      <c r="K40" s="42"/>
      <c r="L40" s="50"/>
      <c r="M40" s="8"/>
    </row>
    <row r="41" spans="2:13" x14ac:dyDescent="0.2">
      <c r="B41" s="3" t="s">
        <v>32</v>
      </c>
      <c r="E41" s="42">
        <f>SUM(E37:E40)</f>
        <v>7.7384999999999993</v>
      </c>
      <c r="F41" s="50">
        <f>SUM(F37:F40)</f>
        <v>3.7743902439024382</v>
      </c>
      <c r="G41" s="8">
        <f>SUM(G37:G40)</f>
        <v>1</v>
      </c>
      <c r="H41" s="12" t="s">
        <v>33</v>
      </c>
      <c r="K41" s="42">
        <f>SUM(K35:K38)</f>
        <v>7.7374999999999998</v>
      </c>
      <c r="L41" s="50">
        <f>SUM(L35:L38)</f>
        <v>3.7743902439024382</v>
      </c>
      <c r="M41" s="8">
        <f>SUM(M35:M38)</f>
        <v>1</v>
      </c>
    </row>
    <row r="43" spans="2:13" x14ac:dyDescent="0.2">
      <c r="B43" s="1" t="s">
        <v>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5" spans="2:13" x14ac:dyDescent="0.2">
      <c r="B45" s="1" t="s">
        <v>34</v>
      </c>
      <c r="C45" s="2"/>
      <c r="D45" s="2"/>
      <c r="E45" s="2"/>
      <c r="F45" s="2"/>
      <c r="G45" s="2"/>
      <c r="H45" s="4" t="s">
        <v>35</v>
      </c>
      <c r="I45" s="4" t="s">
        <v>36</v>
      </c>
      <c r="J45" s="4" t="s">
        <v>37</v>
      </c>
      <c r="K45" s="4" t="s">
        <v>38</v>
      </c>
      <c r="L45" s="4" t="s">
        <v>39</v>
      </c>
      <c r="M45" s="4" t="s">
        <v>40</v>
      </c>
    </row>
    <row r="46" spans="2:13" x14ac:dyDescent="0.2">
      <c r="B46" s="3" t="s">
        <v>9</v>
      </c>
      <c r="H46" s="44">
        <f>I20</f>
        <v>18.663043478260871</v>
      </c>
      <c r="I46" s="44">
        <f>H46*(1+I27)</f>
        <v>19.596195652173915</v>
      </c>
      <c r="J46" s="44">
        <f>I46*(1+$I$27)</f>
        <v>20.576005434782612</v>
      </c>
      <c r="K46" s="44">
        <f>J46*(1+$I$27)</f>
        <v>21.604805706521745</v>
      </c>
      <c r="L46" s="44">
        <f>K46*(1+$I$27)</f>
        <v>22.685045991847833</v>
      </c>
      <c r="M46" s="44">
        <f>L46*(1+$I$27)</f>
        <v>23.819298291440226</v>
      </c>
    </row>
    <row r="47" spans="2:13" x14ac:dyDescent="0.2">
      <c r="B47" s="19" t="s">
        <v>41</v>
      </c>
      <c r="H47" s="8"/>
      <c r="I47" s="8">
        <f>I46/H46-1</f>
        <v>5.0000000000000044E-2</v>
      </c>
      <c r="J47" s="8">
        <f>J46/I46-1</f>
        <v>5.0000000000000044E-2</v>
      </c>
      <c r="K47" s="8">
        <f t="shared" ref="K47:M47" si="3">K46/J46-1</f>
        <v>5.0000000000000044E-2</v>
      </c>
      <c r="L47" s="8">
        <f t="shared" si="3"/>
        <v>5.0000000000000044E-2</v>
      </c>
      <c r="M47" s="8">
        <f t="shared" si="3"/>
        <v>5.0000000000000044E-2</v>
      </c>
    </row>
    <row r="48" spans="2:13" x14ac:dyDescent="0.2">
      <c r="H48" s="9"/>
      <c r="I48" s="9"/>
      <c r="J48" s="9"/>
      <c r="K48" s="9"/>
      <c r="L48" s="9"/>
      <c r="M48" s="9"/>
    </row>
    <row r="49" spans="2:13" x14ac:dyDescent="0.2">
      <c r="B49" s="3" t="s">
        <v>42</v>
      </c>
      <c r="H49" s="45">
        <f>I21</f>
        <v>2.0500000000000003</v>
      </c>
      <c r="I49" s="45">
        <f>I46*I50</f>
        <v>2.4464429347826089</v>
      </c>
      <c r="J49" s="45">
        <f>J46*J50</f>
        <v>2.8774051630434783</v>
      </c>
      <c r="K49" s="45">
        <f t="shared" ref="K49:L49" si="4">K46*K50</f>
        <v>3.345347506793479</v>
      </c>
      <c r="L49" s="45">
        <f t="shared" si="4"/>
        <v>3.852890572010871</v>
      </c>
      <c r="M49" s="45">
        <f>M46*M50</f>
        <v>4.4028245749830184</v>
      </c>
    </row>
    <row r="50" spans="2:13" x14ac:dyDescent="0.2">
      <c r="B50" s="12" t="s">
        <v>43</v>
      </c>
      <c r="H50" s="8">
        <f>H49/H46</f>
        <v>0.10984274898078043</v>
      </c>
      <c r="I50" s="8">
        <f>H50+$I$28</f>
        <v>0.12484274898078043</v>
      </c>
      <c r="J50" s="8">
        <f>I50+$I$28</f>
        <v>0.13984274898078042</v>
      </c>
      <c r="K50" s="8">
        <f>J50+$I$28</f>
        <v>0.15484274898078043</v>
      </c>
      <c r="L50" s="8">
        <f>K50+$I$28</f>
        <v>0.16984274898078044</v>
      </c>
      <c r="M50" s="8">
        <f>L50+$I$28</f>
        <v>0.18484274898078046</v>
      </c>
    </row>
    <row r="51" spans="2:13" x14ac:dyDescent="0.2">
      <c r="H51" s="9"/>
      <c r="I51" s="9"/>
      <c r="J51" s="9"/>
      <c r="K51" s="9"/>
      <c r="L51" s="9"/>
      <c r="M51" s="9"/>
    </row>
    <row r="52" spans="2:13" x14ac:dyDescent="0.2">
      <c r="B52" s="3" t="s">
        <v>44</v>
      </c>
      <c r="H52" s="45">
        <f>H49-H79</f>
        <v>2.0500000000000003</v>
      </c>
      <c r="I52" s="45">
        <f>I49-I67</f>
        <v>1.4666331521739131</v>
      </c>
      <c r="J52" s="45">
        <f t="shared" ref="J52:M52" si="5">J49-J67</f>
        <v>1.8486048913043476</v>
      </c>
      <c r="K52" s="45">
        <f t="shared" si="5"/>
        <v>2.2651072214673915</v>
      </c>
      <c r="L52" s="45">
        <f t="shared" si="5"/>
        <v>2.7186382724184792</v>
      </c>
      <c r="M52" s="45">
        <f t="shared" si="5"/>
        <v>3.2118596604110072</v>
      </c>
    </row>
    <row r="53" spans="2:13" x14ac:dyDescent="0.2">
      <c r="B53" s="12" t="s">
        <v>43</v>
      </c>
      <c r="H53" s="8">
        <f>H52/H46</f>
        <v>0.10984274898078043</v>
      </c>
      <c r="I53" s="8">
        <f>I52/I46</f>
        <v>7.484274898078043E-2</v>
      </c>
      <c r="J53" s="8">
        <f>J52/J46</f>
        <v>8.9842748980780401E-2</v>
      </c>
      <c r="K53" s="8">
        <f>K52/K46</f>
        <v>0.10484274898078041</v>
      </c>
      <c r="L53" s="8">
        <f t="shared" ref="L53:M53" si="6">L52/L46</f>
        <v>0.11984274898078044</v>
      </c>
      <c r="M53" s="8">
        <f t="shared" si="6"/>
        <v>0.13484274898078044</v>
      </c>
    </row>
    <row r="54" spans="2:13" x14ac:dyDescent="0.2">
      <c r="H54" s="9"/>
      <c r="I54" s="9"/>
      <c r="J54" s="9"/>
      <c r="K54" s="9"/>
      <c r="L54" s="9"/>
      <c r="M54" s="9"/>
    </row>
    <row r="55" spans="2:13" x14ac:dyDescent="0.2">
      <c r="B55" s="3" t="s">
        <v>45</v>
      </c>
      <c r="H55" s="9"/>
      <c r="I55" s="45">
        <f>I87</f>
        <v>0.31049999999999994</v>
      </c>
      <c r="J55" s="45">
        <f>J87</f>
        <v>0.26894104891304338</v>
      </c>
      <c r="K55" s="45">
        <f t="shared" ref="K55:M55" si="7">K87</f>
        <v>0.20994374090217383</v>
      </c>
      <c r="L55" s="45">
        <f t="shared" si="7"/>
        <v>0.13134287675647818</v>
      </c>
      <c r="M55" s="45">
        <f t="shared" si="7"/>
        <v>3.0778272278619765E-2</v>
      </c>
    </row>
    <row r="56" spans="2:13" x14ac:dyDescent="0.2">
      <c r="H56" s="9"/>
      <c r="I56" s="9"/>
      <c r="J56" s="9"/>
      <c r="K56" s="9"/>
      <c r="L56" s="9"/>
      <c r="M56" s="9"/>
    </row>
    <row r="57" spans="2:13" x14ac:dyDescent="0.2">
      <c r="B57" s="3" t="s">
        <v>46</v>
      </c>
      <c r="H57" s="9"/>
      <c r="I57" s="45">
        <f>I52-I55</f>
        <v>1.1561331521739131</v>
      </c>
      <c r="J57" s="45">
        <f>J52-J55</f>
        <v>1.5796638423913043</v>
      </c>
      <c r="K57" s="45">
        <f t="shared" ref="K57:M57" si="8">K52-K55</f>
        <v>2.0551634805652177</v>
      </c>
      <c r="L57" s="45">
        <f>L52-L55</f>
        <v>2.5872953956620011</v>
      </c>
      <c r="M57" s="45">
        <f t="shared" si="8"/>
        <v>3.1810813881323874</v>
      </c>
    </row>
    <row r="58" spans="2:13" x14ac:dyDescent="0.2">
      <c r="B58" s="12" t="s">
        <v>43</v>
      </c>
      <c r="H58" s="8"/>
      <c r="I58" s="8">
        <f>I57/I46</f>
        <v>5.899783675846576E-2</v>
      </c>
      <c r="J58" s="8">
        <f>J57/J46</f>
        <v>7.6772133804016637E-2</v>
      </c>
      <c r="K58" s="8">
        <f t="shared" ref="K58:M58" si="9">K57/K46</f>
        <v>9.5125293348268108E-2</v>
      </c>
      <c r="L58" s="8">
        <f t="shared" si="9"/>
        <v>0.11405290501027766</v>
      </c>
      <c r="M58" s="8">
        <f t="shared" si="9"/>
        <v>0.13355059201200525</v>
      </c>
    </row>
    <row r="59" spans="2:13" x14ac:dyDescent="0.2">
      <c r="H59" s="9"/>
      <c r="I59" s="9"/>
      <c r="J59" s="9"/>
      <c r="K59" s="9"/>
      <c r="L59" s="9"/>
      <c r="M59" s="9"/>
    </row>
    <row r="60" spans="2:13" x14ac:dyDescent="0.2">
      <c r="B60" s="3" t="s">
        <v>47</v>
      </c>
      <c r="H60" s="9"/>
      <c r="I60" s="45">
        <f>I57*I61</f>
        <v>0.34683994565217391</v>
      </c>
      <c r="J60" s="45">
        <f>J61*J57</f>
        <v>0.47389915271739125</v>
      </c>
      <c r="K60" s="45">
        <f t="shared" ref="K60:M60" si="10">K61*K57</f>
        <v>0.61654904416956524</v>
      </c>
      <c r="L60" s="45">
        <f t="shared" si="10"/>
        <v>0.77618861869860034</v>
      </c>
      <c r="M60" s="45">
        <f t="shared" si="10"/>
        <v>0.95432441643971622</v>
      </c>
    </row>
    <row r="61" spans="2:13" x14ac:dyDescent="0.2">
      <c r="B61" s="12" t="s">
        <v>48</v>
      </c>
      <c r="H61" s="8"/>
      <c r="I61" s="8">
        <f>I29</f>
        <v>0.3</v>
      </c>
      <c r="J61" s="8">
        <f>$I$29</f>
        <v>0.3</v>
      </c>
      <c r="K61" s="8">
        <f t="shared" ref="K61:M61" si="11">$I$29</f>
        <v>0.3</v>
      </c>
      <c r="L61" s="8">
        <f t="shared" si="11"/>
        <v>0.3</v>
      </c>
      <c r="M61" s="8">
        <f t="shared" si="11"/>
        <v>0.3</v>
      </c>
    </row>
    <row r="62" spans="2:13" x14ac:dyDescent="0.2">
      <c r="H62" s="9"/>
      <c r="I62" s="9"/>
      <c r="J62" s="9"/>
      <c r="K62" s="9"/>
      <c r="L62" s="9"/>
      <c r="M62" s="9"/>
    </row>
    <row r="63" spans="2:13" x14ac:dyDescent="0.2">
      <c r="B63" s="3" t="s">
        <v>49</v>
      </c>
      <c r="H63" s="9"/>
      <c r="I63" s="45">
        <f>I57-I60</f>
        <v>0.80929320652173919</v>
      </c>
      <c r="J63" s="45">
        <f>J57-J60</f>
        <v>1.1057646896739131</v>
      </c>
      <c r="K63" s="45">
        <f>K57-K60</f>
        <v>1.4386144363956523</v>
      </c>
      <c r="L63" s="45">
        <f>L57-L60</f>
        <v>1.8111067769634008</v>
      </c>
      <c r="M63" s="45">
        <f t="shared" ref="M63" si="12">M57-M60</f>
        <v>2.2267569716926712</v>
      </c>
    </row>
    <row r="64" spans="2:13" x14ac:dyDescent="0.2">
      <c r="B64" s="12" t="s">
        <v>50</v>
      </c>
      <c r="I64" s="8">
        <f>I63/I46</f>
        <v>4.1298485730926031E-2</v>
      </c>
      <c r="J64" s="8">
        <f>J63/J46</f>
        <v>5.3740493662811653E-2</v>
      </c>
      <c r="K64" s="8">
        <f t="shared" ref="K64:M64" si="13">K63/K46</f>
        <v>6.6587705343787676E-2</v>
      </c>
      <c r="L64" s="8">
        <f t="shared" si="13"/>
        <v>7.9837033507194372E-2</v>
      </c>
      <c r="M64" s="8">
        <f t="shared" si="13"/>
        <v>9.3485414408403675E-2</v>
      </c>
    </row>
    <row r="66" spans="2:13" x14ac:dyDescent="0.2">
      <c r="B66" s="1" t="s">
        <v>51</v>
      </c>
      <c r="C66" s="2"/>
      <c r="D66" s="2"/>
      <c r="E66" s="2"/>
      <c r="F66" s="2"/>
      <c r="G66" s="2"/>
      <c r="H66" s="4" t="str">
        <f>H45</f>
        <v>Y0</v>
      </c>
      <c r="I66" s="4" t="str">
        <f t="shared" ref="I66:M66" si="14">I45</f>
        <v>Y1</v>
      </c>
      <c r="J66" s="4" t="str">
        <f t="shared" si="14"/>
        <v>Y2</v>
      </c>
      <c r="K66" s="4" t="str">
        <f t="shared" si="14"/>
        <v>Y3</v>
      </c>
      <c r="L66" s="4" t="str">
        <f t="shared" si="14"/>
        <v>Y4</v>
      </c>
      <c r="M66" s="4" t="str">
        <f t="shared" si="14"/>
        <v>Y5</v>
      </c>
    </row>
    <row r="67" spans="2:13" x14ac:dyDescent="0.2">
      <c r="B67" s="3" t="s">
        <v>52</v>
      </c>
      <c r="G67" s="9"/>
      <c r="H67" s="45">
        <f>I22</f>
        <v>0.93315217391304361</v>
      </c>
      <c r="I67" s="45">
        <f>I68*I46</f>
        <v>0.97980978260869578</v>
      </c>
      <c r="J67" s="45">
        <f t="shared" ref="J67:M67" si="15">J68*J46</f>
        <v>1.0288002717391307</v>
      </c>
      <c r="K67" s="45">
        <f t="shared" si="15"/>
        <v>1.0802402853260873</v>
      </c>
      <c r="L67" s="45">
        <f t="shared" si="15"/>
        <v>1.1342522995923916</v>
      </c>
      <c r="M67" s="45">
        <f t="shared" si="15"/>
        <v>1.1909649145720114</v>
      </c>
    </row>
    <row r="68" spans="2:13" x14ac:dyDescent="0.2">
      <c r="B68" s="12" t="s">
        <v>50</v>
      </c>
      <c r="H68" s="8">
        <f>H67/H46</f>
        <v>0.05</v>
      </c>
      <c r="I68" s="8">
        <f>H68</f>
        <v>0.05</v>
      </c>
      <c r="J68" s="8">
        <f>I68</f>
        <v>0.05</v>
      </c>
      <c r="K68" s="8">
        <f>J68</f>
        <v>0.05</v>
      </c>
      <c r="L68" s="8">
        <f>K68</f>
        <v>0.05</v>
      </c>
      <c r="M68" s="8">
        <f>L68</f>
        <v>0.05</v>
      </c>
    </row>
    <row r="70" spans="2:13" x14ac:dyDescent="0.2">
      <c r="B70" s="3" t="s">
        <v>53</v>
      </c>
      <c r="H70" s="45">
        <f>I24</f>
        <v>0.37326086956521742</v>
      </c>
      <c r="I70" s="45">
        <f>I71*I46</f>
        <v>0.39192391304347829</v>
      </c>
      <c r="J70" s="45">
        <f t="shared" ref="J70:M70" si="16">J71*J46</f>
        <v>0.41152010869565225</v>
      </c>
      <c r="K70" s="45">
        <f t="shared" si="16"/>
        <v>0.43209611413043492</v>
      </c>
      <c r="L70" s="45">
        <f t="shared" si="16"/>
        <v>0.45370091983695665</v>
      </c>
      <c r="M70" s="45">
        <f t="shared" si="16"/>
        <v>0.47638596582880455</v>
      </c>
    </row>
    <row r="71" spans="2:13" x14ac:dyDescent="0.2">
      <c r="B71" s="12" t="s">
        <v>50</v>
      </c>
      <c r="H71" s="8">
        <f>H70/H46</f>
        <v>0.02</v>
      </c>
      <c r="I71" s="8">
        <f>H71</f>
        <v>0.02</v>
      </c>
      <c r="J71" s="8">
        <f>I71</f>
        <v>0.02</v>
      </c>
      <c r="K71" s="8">
        <f>J71</f>
        <v>0.02</v>
      </c>
      <c r="L71" s="8">
        <f>K71</f>
        <v>0.02</v>
      </c>
      <c r="M71" s="8">
        <f>L71</f>
        <v>0.02</v>
      </c>
    </row>
    <row r="72" spans="2:13" x14ac:dyDescent="0.2">
      <c r="B72" s="12" t="s">
        <v>54</v>
      </c>
      <c r="H72" s="22"/>
      <c r="I72" s="43">
        <f>I70-H70</f>
        <v>1.8663043478260866E-2</v>
      </c>
      <c r="J72" s="43">
        <f t="shared" ref="J72:M72" si="17">J70-I70</f>
        <v>1.9596195652173964E-2</v>
      </c>
      <c r="K72" s="43">
        <f t="shared" si="17"/>
        <v>2.0576005434782663E-2</v>
      </c>
      <c r="L72" s="43">
        <f t="shared" si="17"/>
        <v>2.1604805706521735E-2</v>
      </c>
      <c r="M72" s="43">
        <f t="shared" si="17"/>
        <v>2.2685045991847896E-2</v>
      </c>
    </row>
    <row r="74" spans="2:13" x14ac:dyDescent="0.2">
      <c r="B74" s="3" t="s">
        <v>55</v>
      </c>
      <c r="H74" s="45">
        <f>I23</f>
        <v>1.0264673913043478</v>
      </c>
      <c r="I74" s="45">
        <f>I75*I46</f>
        <v>1.0777907608695652</v>
      </c>
      <c r="J74" s="45">
        <f t="shared" ref="J74:M74" si="18">J75*J46</f>
        <v>1.1316802989130434</v>
      </c>
      <c r="K74" s="45">
        <f t="shared" si="18"/>
        <v>1.1882643138586959</v>
      </c>
      <c r="L74" s="45">
        <f t="shared" si="18"/>
        <v>1.2476775295516307</v>
      </c>
      <c r="M74" s="45">
        <f t="shared" si="18"/>
        <v>1.3100614060292124</v>
      </c>
    </row>
    <row r="75" spans="2:13" x14ac:dyDescent="0.2">
      <c r="B75" s="12" t="s">
        <v>50</v>
      </c>
      <c r="H75" s="8">
        <f>H74/H46</f>
        <v>5.4999999999999993E-2</v>
      </c>
      <c r="I75" s="8">
        <f>H75</f>
        <v>5.4999999999999993E-2</v>
      </c>
      <c r="J75" s="8">
        <f>I75</f>
        <v>5.4999999999999993E-2</v>
      </c>
      <c r="K75" s="8">
        <f>J75</f>
        <v>5.4999999999999993E-2</v>
      </c>
      <c r="L75" s="8">
        <f>K75</f>
        <v>5.4999999999999993E-2</v>
      </c>
      <c r="M75" s="8">
        <f>L75</f>
        <v>5.4999999999999993E-2</v>
      </c>
    </row>
    <row r="77" spans="2:13" x14ac:dyDescent="0.2">
      <c r="B77" s="1" t="s">
        <v>56</v>
      </c>
      <c r="C77" s="2"/>
      <c r="D77" s="2"/>
      <c r="E77" s="2"/>
      <c r="F77" s="2"/>
      <c r="G77" s="2"/>
      <c r="H77" s="4" t="str">
        <f>H66</f>
        <v>Y0</v>
      </c>
      <c r="I77" s="4" t="str">
        <f t="shared" ref="I77:M77" si="19">I66</f>
        <v>Y1</v>
      </c>
      <c r="J77" s="4" t="str">
        <f t="shared" si="19"/>
        <v>Y2</v>
      </c>
      <c r="K77" s="4" t="str">
        <f t="shared" si="19"/>
        <v>Y3</v>
      </c>
      <c r="L77" s="4" t="str">
        <f t="shared" si="19"/>
        <v>Y4</v>
      </c>
      <c r="M77" s="4" t="str">
        <f t="shared" si="19"/>
        <v>Y5</v>
      </c>
    </row>
    <row r="78" spans="2:13" x14ac:dyDescent="0.2">
      <c r="B78" s="3" t="s">
        <v>49</v>
      </c>
      <c r="H78" s="43"/>
      <c r="I78" s="43">
        <f>I63</f>
        <v>0.80929320652173919</v>
      </c>
      <c r="J78" s="43">
        <f t="shared" ref="J78:M78" si="20">J63</f>
        <v>1.1057646896739131</v>
      </c>
      <c r="K78" s="43">
        <f t="shared" si="20"/>
        <v>1.4386144363956523</v>
      </c>
      <c r="L78" s="43">
        <f t="shared" si="20"/>
        <v>1.8111067769634008</v>
      </c>
      <c r="M78" s="43">
        <f t="shared" si="20"/>
        <v>2.2267569716926712</v>
      </c>
    </row>
    <row r="79" spans="2:13" x14ac:dyDescent="0.2">
      <c r="B79" s="3" t="s">
        <v>13</v>
      </c>
      <c r="H79" s="43"/>
      <c r="I79" s="43">
        <f>I67</f>
        <v>0.97980978260869578</v>
      </c>
      <c r="J79" s="43">
        <f>J67</f>
        <v>1.0288002717391307</v>
      </c>
      <c r="K79" s="43">
        <f t="shared" ref="K79:M79" si="21">K67</f>
        <v>1.0802402853260873</v>
      </c>
      <c r="L79" s="43">
        <f t="shared" si="21"/>
        <v>1.1342522995923916</v>
      </c>
      <c r="M79" s="43">
        <f t="shared" si="21"/>
        <v>1.1909649145720114</v>
      </c>
    </row>
    <row r="80" spans="2:13" x14ac:dyDescent="0.2">
      <c r="B80" s="3" t="s">
        <v>55</v>
      </c>
      <c r="H80" s="43"/>
      <c r="I80" s="43">
        <f>I74</f>
        <v>1.0777907608695652</v>
      </c>
      <c r="J80" s="43">
        <f>J74</f>
        <v>1.1316802989130434</v>
      </c>
      <c r="K80" s="43">
        <f t="shared" ref="K80:M80" si="22">K74</f>
        <v>1.1882643138586959</v>
      </c>
      <c r="L80" s="43">
        <f t="shared" si="22"/>
        <v>1.2476775295516307</v>
      </c>
      <c r="M80" s="43">
        <f t="shared" si="22"/>
        <v>1.3100614060292124</v>
      </c>
    </row>
    <row r="81" spans="2:15" x14ac:dyDescent="0.2">
      <c r="B81" s="3" t="s">
        <v>57</v>
      </c>
      <c r="H81" s="43"/>
      <c r="I81" s="43">
        <f>I72</f>
        <v>1.8663043478260866E-2</v>
      </c>
      <c r="J81" s="43">
        <f t="shared" ref="J81:M81" si="23">J72</f>
        <v>1.9596195652173964E-2</v>
      </c>
      <c r="K81" s="43">
        <f t="shared" si="23"/>
        <v>2.0576005434782663E-2</v>
      </c>
      <c r="L81" s="43">
        <f t="shared" si="23"/>
        <v>2.1604805706521735E-2</v>
      </c>
      <c r="M81" s="43">
        <f t="shared" si="23"/>
        <v>2.2685045991847896E-2</v>
      </c>
    </row>
    <row r="82" spans="2:15" x14ac:dyDescent="0.2">
      <c r="B82" s="3" t="s">
        <v>58</v>
      </c>
      <c r="H82" s="43"/>
      <c r="I82" s="46">
        <f>I78+I79-I80-I81</f>
        <v>0.69264918478260906</v>
      </c>
      <c r="J82" s="46">
        <f>J78+J79-J80-J81</f>
        <v>0.98328846684782611</v>
      </c>
      <c r="K82" s="46">
        <f t="shared" ref="K82:M82" si="24">K78+K79-K80-K81</f>
        <v>1.3100144024282607</v>
      </c>
      <c r="L82" s="46">
        <f t="shared" si="24"/>
        <v>1.6760767412976403</v>
      </c>
      <c r="M82" s="46">
        <f t="shared" si="24"/>
        <v>2.0849754342436224</v>
      </c>
    </row>
    <row r="84" spans="2:15" x14ac:dyDescent="0.2">
      <c r="B84" s="1" t="s">
        <v>59</v>
      </c>
      <c r="C84" s="1"/>
      <c r="D84" s="1"/>
      <c r="E84" s="1"/>
      <c r="F84" s="1"/>
      <c r="G84" s="1"/>
      <c r="H84" s="4" t="str">
        <f>H77</f>
        <v>Y0</v>
      </c>
      <c r="I84" s="4" t="str">
        <f t="shared" ref="I84:M84" si="25">I77</f>
        <v>Y1</v>
      </c>
      <c r="J84" s="4" t="str">
        <f t="shared" si="25"/>
        <v>Y2</v>
      </c>
      <c r="K84" s="4" t="str">
        <f t="shared" si="25"/>
        <v>Y3</v>
      </c>
      <c r="L84" s="4" t="str">
        <f t="shared" si="25"/>
        <v>Y4</v>
      </c>
      <c r="M84" s="4" t="str">
        <f t="shared" si="25"/>
        <v>Y5</v>
      </c>
    </row>
    <row r="85" spans="2:15" x14ac:dyDescent="0.2">
      <c r="B85" s="3" t="s">
        <v>28</v>
      </c>
      <c r="I85" s="9"/>
    </row>
    <row r="86" spans="2:15" x14ac:dyDescent="0.2">
      <c r="B86" s="12" t="s">
        <v>60</v>
      </c>
      <c r="I86" s="45">
        <f>E35</f>
        <v>5.1749999999999989</v>
      </c>
      <c r="J86" s="45">
        <f>I89</f>
        <v>4.4823508152173899</v>
      </c>
      <c r="K86" s="45">
        <f>J89</f>
        <v>3.4990623483695638</v>
      </c>
      <c r="L86" s="45">
        <f>K89</f>
        <v>2.189047945941303</v>
      </c>
      <c r="M86" s="45">
        <f>L89</f>
        <v>0.51297120464366275</v>
      </c>
    </row>
    <row r="87" spans="2:15" x14ac:dyDescent="0.2">
      <c r="B87" s="12" t="s">
        <v>45</v>
      </c>
      <c r="I87" s="47">
        <f>I86*$M$19</f>
        <v>0.31049999999999994</v>
      </c>
      <c r="J87" s="47">
        <f>J86*$M$19</f>
        <v>0.26894104891304338</v>
      </c>
      <c r="K87" s="47">
        <f t="shared" ref="K87:M87" si="26">K86*$M$19</f>
        <v>0.20994374090217383</v>
      </c>
      <c r="L87" s="47">
        <f t="shared" si="26"/>
        <v>0.13134287675647818</v>
      </c>
      <c r="M87" s="47">
        <f t="shared" si="26"/>
        <v>3.0778272278619765E-2</v>
      </c>
    </row>
    <row r="88" spans="2:15" x14ac:dyDescent="0.2">
      <c r="B88" s="12" t="s">
        <v>61</v>
      </c>
      <c r="I88" s="47">
        <f>I82</f>
        <v>0.69264918478260906</v>
      </c>
      <c r="J88" s="47">
        <f>J82</f>
        <v>0.98328846684782611</v>
      </c>
      <c r="K88" s="47">
        <f t="shared" ref="K88:M88" si="27">K82</f>
        <v>1.3100144024282607</v>
      </c>
      <c r="L88" s="47">
        <f t="shared" si="27"/>
        <v>1.6760767412976403</v>
      </c>
      <c r="M88" s="47">
        <f t="shared" si="27"/>
        <v>2.0849754342436224</v>
      </c>
    </row>
    <row r="89" spans="2:15" x14ac:dyDescent="0.2">
      <c r="B89" s="13" t="s">
        <v>62</v>
      </c>
      <c r="H89" s="11"/>
      <c r="I89" s="45">
        <f>I86-I88</f>
        <v>4.4823508152173899</v>
      </c>
      <c r="J89" s="45">
        <f>J86-J88</f>
        <v>3.4990623483695638</v>
      </c>
      <c r="K89" s="45">
        <f>K86-K88</f>
        <v>2.189047945941303</v>
      </c>
      <c r="L89" s="45">
        <f>L86-L88</f>
        <v>0.51297120464366275</v>
      </c>
      <c r="M89" s="45">
        <f t="shared" ref="M89" si="28">M86-M88</f>
        <v>-1.5720042295999597</v>
      </c>
      <c r="N89" s="43">
        <f>M82-M86</f>
        <v>1.5720042295999597</v>
      </c>
      <c r="O89" s="3" t="s">
        <v>97</v>
      </c>
    </row>
    <row r="90" spans="2:15" x14ac:dyDescent="0.2">
      <c r="I90" s="5"/>
      <c r="J90" s="5"/>
      <c r="K90" s="5"/>
      <c r="L90" s="5"/>
      <c r="M90" s="5">
        <v>0</v>
      </c>
      <c r="O90" s="30" t="s">
        <v>98</v>
      </c>
    </row>
    <row r="91" spans="2:15" x14ac:dyDescent="0.2">
      <c r="B91" s="29" t="s">
        <v>70</v>
      </c>
      <c r="C91" s="30"/>
      <c r="D91" s="30"/>
      <c r="E91" s="30"/>
      <c r="F91" s="30"/>
      <c r="G91" s="30"/>
      <c r="H91" s="30"/>
      <c r="I91" s="37"/>
      <c r="J91" s="37"/>
      <c r="K91" s="37"/>
      <c r="L91" s="37"/>
      <c r="M91" s="34"/>
    </row>
    <row r="92" spans="2:15" x14ac:dyDescent="0.2">
      <c r="B92" s="32" t="s">
        <v>45</v>
      </c>
      <c r="C92" s="30"/>
      <c r="D92" s="30"/>
      <c r="E92" s="30"/>
      <c r="F92" s="30"/>
      <c r="G92" s="30"/>
      <c r="H92" s="30"/>
      <c r="I92" s="38"/>
      <c r="J92" s="31"/>
      <c r="K92" s="31"/>
      <c r="L92" s="31"/>
      <c r="M92" s="31"/>
    </row>
    <row r="93" spans="2:15" x14ac:dyDescent="0.2">
      <c r="B93" s="32" t="s">
        <v>61</v>
      </c>
      <c r="C93" s="30"/>
      <c r="D93" s="30"/>
      <c r="E93" s="30"/>
      <c r="F93" s="30"/>
      <c r="G93" s="30"/>
      <c r="H93" s="30"/>
      <c r="I93" s="38"/>
      <c r="J93" s="31"/>
      <c r="K93" s="31"/>
      <c r="L93" s="31"/>
      <c r="M93" s="31"/>
    </row>
    <row r="94" spans="2:15" x14ac:dyDescent="0.2">
      <c r="B94" s="29" t="s">
        <v>62</v>
      </c>
      <c r="C94" s="30"/>
      <c r="D94" s="30"/>
      <c r="E94" s="30"/>
      <c r="F94" s="30"/>
      <c r="G94" s="30"/>
      <c r="H94" s="33"/>
      <c r="I94" s="38"/>
      <c r="J94" s="34"/>
      <c r="K94" s="34"/>
      <c r="L94" s="34"/>
      <c r="M94" s="34"/>
    </row>
    <row r="95" spans="2:15" x14ac:dyDescent="0.2">
      <c r="I95" s="5"/>
      <c r="J95" s="5"/>
      <c r="K95" s="5"/>
      <c r="L95" s="5"/>
      <c r="M95" s="5"/>
    </row>
    <row r="96" spans="2:15" x14ac:dyDescent="0.2">
      <c r="B96" s="14" t="s">
        <v>91</v>
      </c>
      <c r="C96" s="14"/>
      <c r="D96" s="14"/>
      <c r="E96" s="14"/>
      <c r="F96" s="14"/>
      <c r="G96" s="14"/>
      <c r="H96" s="15"/>
      <c r="I96" s="15"/>
      <c r="J96" s="15"/>
      <c r="K96" s="15"/>
      <c r="L96" s="15"/>
      <c r="M96" s="15" t="str">
        <f>M84</f>
        <v>Y5</v>
      </c>
    </row>
    <row r="97" spans="2:17" x14ac:dyDescent="0.2">
      <c r="B97" s="3" t="s">
        <v>63</v>
      </c>
      <c r="I97" s="5"/>
      <c r="J97" s="5"/>
      <c r="K97" s="5"/>
      <c r="L97" s="5"/>
      <c r="M97" s="47">
        <f>M49</f>
        <v>4.4028245749830184</v>
      </c>
    </row>
    <row r="98" spans="2:17" x14ac:dyDescent="0.2">
      <c r="B98" s="3" t="s">
        <v>64</v>
      </c>
      <c r="M98" s="50">
        <f>E27</f>
        <v>4.95</v>
      </c>
    </row>
    <row r="99" spans="2:17" x14ac:dyDescent="0.2">
      <c r="B99" s="3" t="s">
        <v>65</v>
      </c>
      <c r="M99" s="43">
        <f>M98*M97</f>
        <v>21.793981646165943</v>
      </c>
    </row>
    <row r="100" spans="2:17" x14ac:dyDescent="0.2">
      <c r="B100" s="3" t="s">
        <v>66</v>
      </c>
      <c r="M100" s="43">
        <v>0</v>
      </c>
    </row>
    <row r="101" spans="2:17" x14ac:dyDescent="0.2">
      <c r="B101" s="12" t="s">
        <v>70</v>
      </c>
      <c r="M101" s="43">
        <f>M93</f>
        <v>0</v>
      </c>
    </row>
    <row r="102" spans="2:17" x14ac:dyDescent="0.2">
      <c r="B102" s="3" t="s">
        <v>14</v>
      </c>
      <c r="M102" s="43">
        <f>M99-M100-M101+N89</f>
        <v>23.365985875765901</v>
      </c>
    </row>
    <row r="103" spans="2:17" x14ac:dyDescent="0.2">
      <c r="B103" s="3" t="s">
        <v>89</v>
      </c>
      <c r="M103" s="43">
        <f>(1-M110)*M102</f>
        <v>16.356190113036131</v>
      </c>
      <c r="Q103" s="43"/>
    </row>
    <row r="104" spans="2:17" x14ac:dyDescent="0.2">
      <c r="M104" s="43"/>
    </row>
    <row r="105" spans="2:17" x14ac:dyDescent="0.2">
      <c r="B105" s="3" t="s">
        <v>71</v>
      </c>
      <c r="M105" s="46">
        <v>1E-3</v>
      </c>
    </row>
    <row r="106" spans="2:17" x14ac:dyDescent="0.2">
      <c r="M106" s="43"/>
    </row>
    <row r="107" spans="2:17" x14ac:dyDescent="0.2">
      <c r="B107" s="3" t="s">
        <v>67</v>
      </c>
      <c r="M107" s="24">
        <f>M103/M105</f>
        <v>16356.190113036131</v>
      </c>
    </row>
    <row r="108" spans="2:17" x14ac:dyDescent="0.2">
      <c r="B108" s="3" t="s">
        <v>16</v>
      </c>
      <c r="M108" s="25">
        <f>M107^(1/5)-1</f>
        <v>5.9620386502265905</v>
      </c>
    </row>
    <row r="110" spans="2:17" x14ac:dyDescent="0.2">
      <c r="B110" s="2" t="s">
        <v>90</v>
      </c>
      <c r="C110" s="2"/>
      <c r="D110" s="2"/>
      <c r="E110" s="2"/>
      <c r="F110" s="2"/>
      <c r="G110" s="2"/>
      <c r="H110" s="2"/>
      <c r="I110" s="2"/>
      <c r="J110" s="2"/>
      <c r="K110" s="2"/>
      <c r="L110" s="39" t="s">
        <v>92</v>
      </c>
      <c r="M110" s="54">
        <v>0.3</v>
      </c>
    </row>
    <row r="111" spans="2:17" x14ac:dyDescent="0.2">
      <c r="B111" s="3" t="s">
        <v>65</v>
      </c>
      <c r="M111" s="43">
        <f>M99</f>
        <v>21.793981646165943</v>
      </c>
    </row>
    <row r="112" spans="2:17" x14ac:dyDescent="0.2">
      <c r="B112" s="3" t="s">
        <v>14</v>
      </c>
      <c r="M112" s="43">
        <f>M102</f>
        <v>23.365985875765901</v>
      </c>
    </row>
    <row r="113" spans="2:13" x14ac:dyDescent="0.2">
      <c r="B113" s="3" t="s">
        <v>94</v>
      </c>
      <c r="M113" s="43">
        <f>E39</f>
        <v>2.5625000000000004</v>
      </c>
    </row>
    <row r="114" spans="2:13" x14ac:dyDescent="0.2">
      <c r="B114" s="3" t="s">
        <v>93</v>
      </c>
      <c r="M114" s="43">
        <f>M110*M112</f>
        <v>7.0097957627297705</v>
      </c>
    </row>
    <row r="116" spans="2:13" x14ac:dyDescent="0.2">
      <c r="B116" s="3" t="s">
        <v>67</v>
      </c>
      <c r="M116" s="24">
        <f>M114/M113</f>
        <v>2.7355300537482026</v>
      </c>
    </row>
    <row r="117" spans="2:13" x14ac:dyDescent="0.2">
      <c r="B117" s="3" t="s">
        <v>16</v>
      </c>
      <c r="M117" s="25">
        <f>M116^(1/5)-1</f>
        <v>0.22294886438182693</v>
      </c>
    </row>
    <row r="119" spans="2:13" x14ac:dyDescent="0.2">
      <c r="B119" s="3" t="s">
        <v>95</v>
      </c>
      <c r="M119" s="55" t="str">
        <f>IF(M114+M103=M102,"Richtig","Falsch")</f>
        <v>Richtig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Angel Roll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Schüürmann</dc:creator>
  <cp:lastModifiedBy>Oliver Schüürmann</cp:lastModifiedBy>
  <dcterms:created xsi:type="dcterms:W3CDTF">2026-04-05T09:05:57Z</dcterms:created>
  <dcterms:modified xsi:type="dcterms:W3CDTF">2026-04-08T14:38:00Z</dcterms:modified>
</cp:coreProperties>
</file>