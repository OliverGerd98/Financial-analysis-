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schuurmann/Desktop/"/>
    </mc:Choice>
  </mc:AlternateContent>
  <xr:revisionPtr revIDLastSave="0" documentId="13_ncr:1_{AA8C80C5-2F2B-3A42-BD98-E338BB8F9AFF}" xr6:coauthVersionLast="47" xr6:coauthVersionMax="47" xr10:uidLastSave="{00000000-0000-0000-0000-000000000000}"/>
  <bookViews>
    <workbookView xWindow="28800" yWindow="500" windowWidth="32000" windowHeight="17500" xr2:uid="{E44DD10C-01B1-C04B-99D6-12A1B4B8AADF}"/>
  </bookViews>
  <sheets>
    <sheet name="DCF &amp; Projected Price Terminal " sheetId="7" r:id="rId1"/>
    <sheet name="IS" sheetId="3" r:id="rId2"/>
    <sheet name="CFS " sheetId="2" r:id="rId3"/>
    <sheet name="BS" sheetId="4" r:id="rId4"/>
    <sheet name="Share Price 5y" sheetId="5" r:id="rId5"/>
  </sheets>
  <externalReferences>
    <externalReference r:id="rId6"/>
  </externalReferences>
  <definedNames>
    <definedName name="_xlnm._FilterDatabase" localSheetId="0" hidden="1">'DCF &amp; Projected Price Terminal '!$L$4:$L$10</definedName>
    <definedName name="_xlnm.Print_Area" localSheetId="0">'DCF &amp; Projected Price Terminal '!$A$2:$AA$157</definedName>
    <definedName name="tgr" localSheetId="0">'DCF &amp; Projected Price Terminal '!#REF!</definedName>
    <definedName name="wacc" localSheetId="0">'DCF &amp; Projected Price Terminal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7" l="1"/>
  <c r="M43" i="7"/>
  <c r="I29" i="7"/>
  <c r="I26" i="7"/>
  <c r="I25" i="7"/>
  <c r="G25" i="7"/>
  <c r="H25" i="7"/>
  <c r="L124" i="7"/>
  <c r="K124" i="7"/>
  <c r="J124" i="7"/>
  <c r="M124" i="7"/>
  <c r="R102" i="7"/>
  <c r="N90" i="7"/>
  <c r="N87" i="7"/>
  <c r="N84" i="7"/>
  <c r="M48" i="7"/>
  <c r="L48" i="7"/>
  <c r="J48" i="7"/>
  <c r="I48" i="7"/>
  <c r="H48" i="7"/>
  <c r="F48" i="7"/>
  <c r="E48" i="7"/>
  <c r="D48" i="7"/>
  <c r="P48" i="7"/>
  <c r="O48" i="7"/>
  <c r="N48" i="7"/>
  <c r="P47" i="7"/>
  <c r="O47" i="7"/>
  <c r="N47" i="7"/>
  <c r="P45" i="7"/>
  <c r="M47" i="7"/>
  <c r="L47" i="7"/>
  <c r="J47" i="7"/>
  <c r="I47" i="7"/>
  <c r="H47" i="7"/>
  <c r="F47" i="7"/>
  <c r="E47" i="7"/>
  <c r="D47" i="7"/>
  <c r="M57" i="7"/>
  <c r="L57" i="7"/>
  <c r="K57" i="7"/>
  <c r="J57" i="7"/>
  <c r="I57" i="7"/>
  <c r="H57" i="7"/>
  <c r="G57" i="7"/>
  <c r="F57" i="7"/>
  <c r="E57" i="7"/>
  <c r="D57" i="7"/>
  <c r="M54" i="7"/>
  <c r="L54" i="7"/>
  <c r="K54" i="7"/>
  <c r="J54" i="7"/>
  <c r="I54" i="7"/>
  <c r="H54" i="7"/>
  <c r="G54" i="7"/>
  <c r="F54" i="7"/>
  <c r="E54" i="7"/>
  <c r="D54" i="7"/>
  <c r="M51" i="7"/>
  <c r="L51" i="7"/>
  <c r="K51" i="7"/>
  <c r="J51" i="7"/>
  <c r="I51" i="7"/>
  <c r="H51" i="7"/>
  <c r="G51" i="7"/>
  <c r="F51" i="7"/>
  <c r="E51" i="7"/>
  <c r="D51" i="7"/>
  <c r="M44" i="7"/>
  <c r="L44" i="7"/>
  <c r="K44" i="7"/>
  <c r="J44" i="7"/>
  <c r="I44" i="7"/>
  <c r="H44" i="7"/>
  <c r="G44" i="7"/>
  <c r="F44" i="7"/>
  <c r="E44" i="7"/>
  <c r="D44" i="7"/>
  <c r="M41" i="7"/>
  <c r="L41" i="7"/>
  <c r="K41" i="7"/>
  <c r="J41" i="7"/>
  <c r="I41" i="7"/>
  <c r="H41" i="7"/>
  <c r="G41" i="7"/>
  <c r="F41" i="7"/>
  <c r="E41" i="7"/>
  <c r="D41" i="7"/>
  <c r="R26" i="7"/>
  <c r="G7" i="7"/>
  <c r="G6" i="7"/>
  <c r="E9" i="7"/>
  <c r="S35" i="2"/>
  <c r="K35" i="2"/>
  <c r="C35" i="2"/>
  <c r="Z34" i="2"/>
  <c r="Y34" i="2"/>
  <c r="X34" i="2"/>
  <c r="W34" i="2"/>
  <c r="V34" i="2"/>
  <c r="U34" i="2"/>
  <c r="T34" i="2"/>
  <c r="T35" i="2" s="1"/>
  <c r="S34" i="2"/>
  <c r="R34" i="2"/>
  <c r="Q34" i="2"/>
  <c r="P34" i="2"/>
  <c r="O34" i="2"/>
  <c r="N34" i="2"/>
  <c r="M34" i="2"/>
  <c r="L34" i="2"/>
  <c r="L35" i="2" s="1"/>
  <c r="K34" i="2"/>
  <c r="J34" i="2"/>
  <c r="I34" i="2"/>
  <c r="H34" i="2"/>
  <c r="G34" i="2"/>
  <c r="F34" i="2"/>
  <c r="E34" i="2"/>
  <c r="D34" i="2"/>
  <c r="D35" i="2" s="1"/>
  <c r="C34" i="2"/>
  <c r="B34" i="2"/>
  <c r="Z33" i="2"/>
  <c r="Z35" i="2" s="1"/>
  <c r="Y33" i="2"/>
  <c r="Y35" i="2" s="1"/>
  <c r="X33" i="2"/>
  <c r="X35" i="2" s="1"/>
  <c r="W33" i="2"/>
  <c r="W35" i="2" s="1"/>
  <c r="V33" i="2"/>
  <c r="V35" i="2" s="1"/>
  <c r="U33" i="2"/>
  <c r="U35" i="2" s="1"/>
  <c r="T33" i="2"/>
  <c r="S33" i="2"/>
  <c r="R33" i="2"/>
  <c r="R35" i="2" s="1"/>
  <c r="Q33" i="2"/>
  <c r="Q35" i="2" s="1"/>
  <c r="P33" i="2"/>
  <c r="P35" i="2" s="1"/>
  <c r="O33" i="2"/>
  <c r="O35" i="2" s="1"/>
  <c r="N33" i="2"/>
  <c r="N35" i="2" s="1"/>
  <c r="M33" i="2"/>
  <c r="M35" i="2" s="1"/>
  <c r="L33" i="2"/>
  <c r="K33" i="2"/>
  <c r="J33" i="2"/>
  <c r="J35" i="2" s="1"/>
  <c r="I33" i="2"/>
  <c r="I35" i="2" s="1"/>
  <c r="H33" i="2"/>
  <c r="H35" i="2" s="1"/>
  <c r="G33" i="2"/>
  <c r="G35" i="2" s="1"/>
  <c r="F33" i="2"/>
  <c r="F35" i="2" s="1"/>
  <c r="E33" i="2"/>
  <c r="E35" i="2" s="1"/>
  <c r="D33" i="2"/>
  <c r="C33" i="2"/>
  <c r="B33" i="2"/>
  <c r="B35" i="2" s="1"/>
  <c r="S37" i="3"/>
  <c r="K37" i="3"/>
  <c r="C37" i="3"/>
  <c r="Z36" i="3"/>
  <c r="Y36" i="3"/>
  <c r="X36" i="3"/>
  <c r="W36" i="3"/>
  <c r="V36" i="3"/>
  <c r="U36" i="3"/>
  <c r="T36" i="3"/>
  <c r="T37" i="3" s="1"/>
  <c r="S36" i="3"/>
  <c r="R36" i="3"/>
  <c r="Q36" i="3"/>
  <c r="P36" i="3"/>
  <c r="O36" i="3"/>
  <c r="N36" i="3"/>
  <c r="M36" i="3"/>
  <c r="L36" i="3"/>
  <c r="L37" i="3" s="1"/>
  <c r="K36" i="3"/>
  <c r="J36" i="3"/>
  <c r="I36" i="3"/>
  <c r="H36" i="3"/>
  <c r="G36" i="3"/>
  <c r="F36" i="3"/>
  <c r="E36" i="3"/>
  <c r="D36" i="3"/>
  <c r="D37" i="3" s="1"/>
  <c r="C36" i="3"/>
  <c r="B36" i="3"/>
  <c r="Z35" i="3"/>
  <c r="Z37" i="3" s="1"/>
  <c r="Y35" i="3"/>
  <c r="Y37" i="3" s="1"/>
  <c r="X35" i="3"/>
  <c r="X37" i="3" s="1"/>
  <c r="W35" i="3"/>
  <c r="W37" i="3" s="1"/>
  <c r="V35" i="3"/>
  <c r="V37" i="3" s="1"/>
  <c r="U35" i="3"/>
  <c r="U37" i="3" s="1"/>
  <c r="T35" i="3"/>
  <c r="S35" i="3"/>
  <c r="R35" i="3"/>
  <c r="R37" i="3" s="1"/>
  <c r="Q35" i="3"/>
  <c r="Q37" i="3" s="1"/>
  <c r="P35" i="3"/>
  <c r="P37" i="3" s="1"/>
  <c r="O35" i="3"/>
  <c r="O37" i="3" s="1"/>
  <c r="N35" i="3"/>
  <c r="N37" i="3" s="1"/>
  <c r="M35" i="3"/>
  <c r="M37" i="3" s="1"/>
  <c r="L35" i="3"/>
  <c r="K35" i="3"/>
  <c r="J35" i="3"/>
  <c r="J37" i="3" s="1"/>
  <c r="I35" i="3"/>
  <c r="I37" i="3" s="1"/>
  <c r="H35" i="3"/>
  <c r="H37" i="3" s="1"/>
  <c r="G35" i="3"/>
  <c r="G37" i="3" s="1"/>
  <c r="F35" i="3"/>
  <c r="F37" i="3" s="1"/>
  <c r="E35" i="3"/>
  <c r="E37" i="3" s="1"/>
  <c r="D35" i="3"/>
  <c r="C35" i="3"/>
  <c r="B35" i="3"/>
  <c r="B37" i="3" s="1"/>
  <c r="CL60" i="4"/>
  <c r="CR59" i="4"/>
  <c r="CR60" i="4" s="1"/>
  <c r="CQ59" i="4"/>
  <c r="CQ60" i="4" s="1"/>
  <c r="CP59" i="4"/>
  <c r="CP60" i="4" s="1"/>
  <c r="CO59" i="4"/>
  <c r="CO60" i="4" s="1"/>
  <c r="CN59" i="4"/>
  <c r="CN60" i="4" s="1"/>
  <c r="CM59" i="4"/>
  <c r="CM60" i="4" s="1"/>
  <c r="CL59" i="4"/>
  <c r="CK59" i="4"/>
  <c r="CK60" i="4" s="1"/>
  <c r="CJ59" i="4"/>
  <c r="CJ60" i="4" s="1"/>
  <c r="CI59" i="4"/>
  <c r="CH59" i="4"/>
  <c r="CH60" i="4" s="1"/>
  <c r="CG59" i="4"/>
  <c r="CG60" i="4" s="1"/>
  <c r="CF59" i="4"/>
  <c r="CF60" i="4" s="1"/>
  <c r="CE59" i="4"/>
  <c r="CE60" i="4" s="1"/>
  <c r="CD59" i="4"/>
  <c r="CC59" i="4"/>
  <c r="CC60" i="4" s="1"/>
  <c r="CB59" i="4"/>
  <c r="CB60" i="4" s="1"/>
  <c r="CA59" i="4"/>
  <c r="BZ59" i="4"/>
  <c r="BZ60" i="4" s="1"/>
  <c r="BY59" i="4"/>
  <c r="BY60" i="4" s="1"/>
  <c r="BX59" i="4"/>
  <c r="BX60" i="4" s="1"/>
  <c r="BW59" i="4"/>
  <c r="BW60" i="4" s="1"/>
  <c r="BV59" i="4"/>
  <c r="BU59" i="4"/>
  <c r="BU60" i="4" s="1"/>
  <c r="BT59" i="4"/>
  <c r="BT60" i="4" s="1"/>
  <c r="BS59" i="4"/>
  <c r="BR59" i="4"/>
  <c r="BR60" i="4" s="1"/>
  <c r="BQ59" i="4"/>
  <c r="BQ60" i="4" s="1"/>
  <c r="BP59" i="4"/>
  <c r="BP60" i="4" s="1"/>
  <c r="BO59" i="4"/>
  <c r="BO60" i="4" s="1"/>
  <c r="BN59" i="4"/>
  <c r="BM59" i="4"/>
  <c r="BM60" i="4" s="1"/>
  <c r="BL59" i="4"/>
  <c r="BL60" i="4" s="1"/>
  <c r="BK59" i="4"/>
  <c r="BJ59" i="4"/>
  <c r="BJ60" i="4" s="1"/>
  <c r="BI59" i="4"/>
  <c r="BI60" i="4" s="1"/>
  <c r="BH59" i="4"/>
  <c r="BH60" i="4" s="1"/>
  <c r="BG59" i="4"/>
  <c r="BG60" i="4" s="1"/>
  <c r="BF59" i="4"/>
  <c r="BE59" i="4"/>
  <c r="BE60" i="4" s="1"/>
  <c r="BD59" i="4"/>
  <c r="BD60" i="4" s="1"/>
  <c r="BC59" i="4"/>
  <c r="BB59" i="4"/>
  <c r="BB60" i="4" s="1"/>
  <c r="BA59" i="4"/>
  <c r="BA60" i="4" s="1"/>
  <c r="AZ59" i="4"/>
  <c r="AZ60" i="4" s="1"/>
  <c r="AY59" i="4"/>
  <c r="AY60" i="4" s="1"/>
  <c r="AX59" i="4"/>
  <c r="AW59" i="4"/>
  <c r="AW60" i="4" s="1"/>
  <c r="AV59" i="4"/>
  <c r="AV60" i="4" s="1"/>
  <c r="AU59" i="4"/>
  <c r="AT59" i="4"/>
  <c r="AT60" i="4" s="1"/>
  <c r="AS59" i="4"/>
  <c r="AS60" i="4" s="1"/>
  <c r="AR59" i="4"/>
  <c r="AR60" i="4" s="1"/>
  <c r="AQ59" i="4"/>
  <c r="AQ60" i="4" s="1"/>
  <c r="AP59" i="4"/>
  <c r="AO59" i="4"/>
  <c r="AO60" i="4" s="1"/>
  <c r="AN59" i="4"/>
  <c r="AN60" i="4" s="1"/>
  <c r="AM59" i="4"/>
  <c r="AL59" i="4"/>
  <c r="AL60" i="4" s="1"/>
  <c r="AK59" i="4"/>
  <c r="AK60" i="4" s="1"/>
  <c r="AJ59" i="4"/>
  <c r="AJ60" i="4" s="1"/>
  <c r="AI59" i="4"/>
  <c r="AI60" i="4" s="1"/>
  <c r="AH59" i="4"/>
  <c r="AG59" i="4"/>
  <c r="AG60" i="4" s="1"/>
  <c r="AF59" i="4"/>
  <c r="AF60" i="4" s="1"/>
  <c r="AE59" i="4"/>
  <c r="AD59" i="4"/>
  <c r="AD60" i="4" s="1"/>
  <c r="AC59" i="4"/>
  <c r="AC60" i="4" s="1"/>
  <c r="AB59" i="4"/>
  <c r="AB60" i="4" s="1"/>
  <c r="AA59" i="4"/>
  <c r="AA60" i="4" s="1"/>
  <c r="Z59" i="4"/>
  <c r="Y59" i="4"/>
  <c r="Y60" i="4" s="1"/>
  <c r="X59" i="4"/>
  <c r="X60" i="4" s="1"/>
  <c r="W59" i="4"/>
  <c r="V59" i="4"/>
  <c r="V60" i="4" s="1"/>
  <c r="U59" i="4"/>
  <c r="U60" i="4" s="1"/>
  <c r="T59" i="4"/>
  <c r="T60" i="4" s="1"/>
  <c r="S59" i="4"/>
  <c r="S60" i="4" s="1"/>
  <c r="R59" i="4"/>
  <c r="Q59" i="4"/>
  <c r="Q60" i="4" s="1"/>
  <c r="P59" i="4"/>
  <c r="P60" i="4" s="1"/>
  <c r="O59" i="4"/>
  <c r="N59" i="4"/>
  <c r="N60" i="4" s="1"/>
  <c r="M59" i="4"/>
  <c r="M60" i="4" s="1"/>
  <c r="L59" i="4"/>
  <c r="L60" i="4" s="1"/>
  <c r="K59" i="4"/>
  <c r="K60" i="4" s="1"/>
  <c r="J59" i="4"/>
  <c r="I59" i="4"/>
  <c r="I60" i="4" s="1"/>
  <c r="H59" i="4"/>
  <c r="H60" i="4" s="1"/>
  <c r="G59" i="4"/>
  <c r="F59" i="4"/>
  <c r="F60" i="4" s="1"/>
  <c r="E59" i="4"/>
  <c r="E60" i="4" s="1"/>
  <c r="D59" i="4"/>
  <c r="D60" i="4" s="1"/>
  <c r="C59" i="4"/>
  <c r="C60" i="4" s="1"/>
  <c r="B59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D60" i="4" s="1"/>
  <c r="CC56" i="4"/>
  <c r="CB56" i="4"/>
  <c r="CA56" i="4"/>
  <c r="BZ56" i="4"/>
  <c r="BY56" i="4"/>
  <c r="BX56" i="4"/>
  <c r="BW56" i="4"/>
  <c r="BV56" i="4"/>
  <c r="BV60" i="4" s="1"/>
  <c r="BU56" i="4"/>
  <c r="BT56" i="4"/>
  <c r="BS56" i="4"/>
  <c r="BR56" i="4"/>
  <c r="BQ56" i="4"/>
  <c r="BP56" i="4"/>
  <c r="BO56" i="4"/>
  <c r="BN56" i="4"/>
  <c r="BN60" i="4" s="1"/>
  <c r="BM56" i="4"/>
  <c r="BL56" i="4"/>
  <c r="BK56" i="4"/>
  <c r="BJ56" i="4"/>
  <c r="BI56" i="4"/>
  <c r="BH56" i="4"/>
  <c r="BG56" i="4"/>
  <c r="BF56" i="4"/>
  <c r="BF60" i="4" s="1"/>
  <c r="BE56" i="4"/>
  <c r="BD56" i="4"/>
  <c r="BC56" i="4"/>
  <c r="BB56" i="4"/>
  <c r="BA56" i="4"/>
  <c r="AZ56" i="4"/>
  <c r="AY56" i="4"/>
  <c r="AX56" i="4"/>
  <c r="AX60" i="4" s="1"/>
  <c r="AW56" i="4"/>
  <c r="AV56" i="4"/>
  <c r="AU56" i="4"/>
  <c r="AT56" i="4"/>
  <c r="AS56" i="4"/>
  <c r="AR56" i="4"/>
  <c r="AQ56" i="4"/>
  <c r="AP56" i="4"/>
  <c r="AP60" i="4" s="1"/>
  <c r="AO56" i="4"/>
  <c r="AN56" i="4"/>
  <c r="AM56" i="4"/>
  <c r="AL56" i="4"/>
  <c r="AK56" i="4"/>
  <c r="AJ56" i="4"/>
  <c r="AI56" i="4"/>
  <c r="AH56" i="4"/>
  <c r="AH60" i="4" s="1"/>
  <c r="AG56" i="4"/>
  <c r="AF56" i="4"/>
  <c r="AE56" i="4"/>
  <c r="AD56" i="4"/>
  <c r="AC56" i="4"/>
  <c r="AB56" i="4"/>
  <c r="AA56" i="4"/>
  <c r="Z56" i="4"/>
  <c r="Z60" i="4" s="1"/>
  <c r="Y56" i="4"/>
  <c r="X56" i="4"/>
  <c r="W56" i="4"/>
  <c r="V56" i="4"/>
  <c r="U56" i="4"/>
  <c r="T56" i="4"/>
  <c r="S56" i="4"/>
  <c r="R56" i="4"/>
  <c r="R60" i="4" s="1"/>
  <c r="Q56" i="4"/>
  <c r="P56" i="4"/>
  <c r="O56" i="4"/>
  <c r="N56" i="4"/>
  <c r="M56" i="4"/>
  <c r="L56" i="4"/>
  <c r="K56" i="4"/>
  <c r="J56" i="4"/>
  <c r="J60" i="4" s="1"/>
  <c r="I56" i="4"/>
  <c r="H56" i="4"/>
  <c r="G56" i="4"/>
  <c r="F56" i="4"/>
  <c r="E56" i="4"/>
  <c r="D56" i="4"/>
  <c r="C56" i="4"/>
  <c r="B56" i="4"/>
  <c r="B60" i="4" s="1"/>
  <c r="CR55" i="4"/>
  <c r="CQ55" i="4"/>
  <c r="CP55" i="4"/>
  <c r="CO55" i="4"/>
  <c r="CN55" i="4"/>
  <c r="CM55" i="4"/>
  <c r="CL55" i="4"/>
  <c r="CK55" i="4"/>
  <c r="CJ55" i="4"/>
  <c r="CI55" i="4"/>
  <c r="CI60" i="4" s="1"/>
  <c r="CH55" i="4"/>
  <c r="CG55" i="4"/>
  <c r="CF55" i="4"/>
  <c r="CE55" i="4"/>
  <c r="CD55" i="4"/>
  <c r="CC55" i="4"/>
  <c r="CB55" i="4"/>
  <c r="CA55" i="4"/>
  <c r="CA60" i="4" s="1"/>
  <c r="BZ55" i="4"/>
  <c r="BY55" i="4"/>
  <c r="BX55" i="4"/>
  <c r="BW55" i="4"/>
  <c r="BV55" i="4"/>
  <c r="BU55" i="4"/>
  <c r="BT55" i="4"/>
  <c r="BS55" i="4"/>
  <c r="BS60" i="4" s="1"/>
  <c r="BR55" i="4"/>
  <c r="BQ55" i="4"/>
  <c r="BP55" i="4"/>
  <c r="BO55" i="4"/>
  <c r="BN55" i="4"/>
  <c r="BM55" i="4"/>
  <c r="BL55" i="4"/>
  <c r="BK55" i="4"/>
  <c r="BK60" i="4" s="1"/>
  <c r="BJ55" i="4"/>
  <c r="BI55" i="4"/>
  <c r="BH55" i="4"/>
  <c r="BG55" i="4"/>
  <c r="BF55" i="4"/>
  <c r="BE55" i="4"/>
  <c r="BD55" i="4"/>
  <c r="BC55" i="4"/>
  <c r="BC60" i="4" s="1"/>
  <c r="BB55" i="4"/>
  <c r="BA55" i="4"/>
  <c r="AZ55" i="4"/>
  <c r="AY55" i="4"/>
  <c r="AX55" i="4"/>
  <c r="AW55" i="4"/>
  <c r="AV55" i="4"/>
  <c r="AU55" i="4"/>
  <c r="AU60" i="4" s="1"/>
  <c r="AT55" i="4"/>
  <c r="AS55" i="4"/>
  <c r="AR55" i="4"/>
  <c r="AQ55" i="4"/>
  <c r="AP55" i="4"/>
  <c r="AO55" i="4"/>
  <c r="AN55" i="4"/>
  <c r="AM55" i="4"/>
  <c r="AM60" i="4" s="1"/>
  <c r="AL55" i="4"/>
  <c r="AK55" i="4"/>
  <c r="AJ55" i="4"/>
  <c r="AI55" i="4"/>
  <c r="AH55" i="4"/>
  <c r="AG55" i="4"/>
  <c r="AF55" i="4"/>
  <c r="AE55" i="4"/>
  <c r="AE60" i="4" s="1"/>
  <c r="AD55" i="4"/>
  <c r="AC55" i="4"/>
  <c r="AB55" i="4"/>
  <c r="AA55" i="4"/>
  <c r="Z55" i="4"/>
  <c r="Y55" i="4"/>
  <c r="X55" i="4"/>
  <c r="W55" i="4"/>
  <c r="W60" i="4" s="1"/>
  <c r="V55" i="4"/>
  <c r="U55" i="4"/>
  <c r="T55" i="4"/>
  <c r="S55" i="4"/>
  <c r="R55" i="4"/>
  <c r="Q55" i="4"/>
  <c r="P55" i="4"/>
  <c r="O55" i="4"/>
  <c r="O60" i="4" s="1"/>
  <c r="N55" i="4"/>
  <c r="M55" i="4"/>
  <c r="L55" i="4"/>
  <c r="K55" i="4"/>
  <c r="J55" i="4"/>
  <c r="I55" i="4"/>
  <c r="H55" i="4"/>
  <c r="G55" i="4"/>
  <c r="G60" i="4" s="1"/>
  <c r="F55" i="4"/>
  <c r="E55" i="4"/>
  <c r="D55" i="4"/>
  <c r="C55" i="4"/>
  <c r="B55" i="4"/>
  <c r="P79" i="7"/>
  <c r="O79" i="7"/>
  <c r="N79" i="7"/>
  <c r="N78" i="7"/>
  <c r="G5" i="7"/>
  <c r="Q79" i="7" l="1"/>
  <c r="R30" i="7" s="1"/>
  <c r="I45" i="7"/>
  <c r="L58" i="7"/>
  <c r="P42" i="7"/>
  <c r="B3" i="7"/>
  <c r="P74" i="7" l="1"/>
  <c r="P75" i="7" s="1"/>
  <c r="P76" i="7" s="1"/>
  <c r="Q76" i="7" s="1"/>
  <c r="R76" i="7" s="1"/>
  <c r="P67" i="7"/>
  <c r="M83" i="7"/>
  <c r="N122" i="7"/>
  <c r="Q75" i="7" l="1"/>
  <c r="R75" i="7" s="1"/>
  <c r="Q74" i="7"/>
  <c r="R74" i="7" s="1"/>
  <c r="Q67" i="7"/>
  <c r="R67" i="7" s="1"/>
  <c r="P68" i="7"/>
  <c r="N71" i="7"/>
  <c r="N64" i="7"/>
  <c r="M79" i="7"/>
  <c r="P69" i="7" l="1"/>
  <c r="Q69" i="7" s="1"/>
  <c r="R69" i="7" s="1"/>
  <c r="Q68" i="7"/>
  <c r="R68" i="7" s="1"/>
  <c r="R27" i="7"/>
  <c r="R98" i="7"/>
  <c r="K43" i="7"/>
  <c r="K39" i="7"/>
  <c r="D43" i="7"/>
  <c r="N128" i="7"/>
  <c r="O131" i="7" s="1"/>
  <c r="O134" i="7" s="1"/>
  <c r="N107" i="7"/>
  <c r="G29" i="7"/>
  <c r="H29" i="7"/>
  <c r="R122" i="7"/>
  <c r="R99" i="7"/>
  <c r="D66" i="7"/>
  <c r="N61" i="7"/>
  <c r="N62" i="7" s="1"/>
  <c r="O62" i="7" s="1"/>
  <c r="P62" i="7" s="1"/>
  <c r="Q62" i="7" s="1"/>
  <c r="R62" i="7" s="1"/>
  <c r="I30" i="7" s="1"/>
  <c r="K89" i="7"/>
  <c r="J89" i="7"/>
  <c r="I89" i="7"/>
  <c r="H89" i="7"/>
  <c r="D89" i="7"/>
  <c r="M86" i="7"/>
  <c r="H86" i="7"/>
  <c r="F86" i="7"/>
  <c r="E86" i="7"/>
  <c r="D86" i="7"/>
  <c r="J83" i="7"/>
  <c r="I83" i="7"/>
  <c r="H83" i="7"/>
  <c r="F83" i="7"/>
  <c r="E83" i="7"/>
  <c r="D83" i="7"/>
  <c r="D50" i="7"/>
  <c r="D60" i="7" s="1"/>
  <c r="O78" i="7"/>
  <c r="L79" i="7"/>
  <c r="R79" i="7" s="1"/>
  <c r="K79" i="7"/>
  <c r="J79" i="7"/>
  <c r="I78" i="7"/>
  <c r="H78" i="7"/>
  <c r="G78" i="7"/>
  <c r="F78" i="7"/>
  <c r="E79" i="7"/>
  <c r="D79" i="7"/>
  <c r="O45" i="7"/>
  <c r="O74" i="7" s="1"/>
  <c r="N45" i="7"/>
  <c r="N76" i="7" s="1"/>
  <c r="L72" i="7"/>
  <c r="K72" i="7"/>
  <c r="G72" i="7"/>
  <c r="F72" i="7"/>
  <c r="E72" i="7"/>
  <c r="D72" i="7"/>
  <c r="O42" i="7"/>
  <c r="O68" i="7" s="1"/>
  <c r="L65" i="7"/>
  <c r="K65" i="7"/>
  <c r="J65" i="7"/>
  <c r="I65" i="7"/>
  <c r="D65" i="7"/>
  <c r="E40" i="7"/>
  <c r="E50" i="7" s="1"/>
  <c r="E60" i="7" s="1"/>
  <c r="G26" i="7"/>
  <c r="R22" i="7"/>
  <c r="R20" i="7" l="1"/>
  <c r="R32" i="7" s="1"/>
  <c r="E12" i="7"/>
  <c r="C27" i="7"/>
  <c r="H58" i="7"/>
  <c r="H90" i="7" s="1"/>
  <c r="G30" i="7"/>
  <c r="H30" i="7"/>
  <c r="N108" i="7"/>
  <c r="G79" i="7"/>
  <c r="N116" i="7"/>
  <c r="L55" i="7"/>
  <c r="L87" i="7" s="1"/>
  <c r="M55" i="7"/>
  <c r="M87" i="7" s="1"/>
  <c r="K52" i="7"/>
  <c r="K84" i="7" s="1"/>
  <c r="M45" i="7"/>
  <c r="M73" i="7" s="1"/>
  <c r="I55" i="7"/>
  <c r="I87" i="7" s="1"/>
  <c r="I58" i="7"/>
  <c r="I90" i="7" s="1"/>
  <c r="F55" i="7"/>
  <c r="F87" i="7" s="1"/>
  <c r="I52" i="7"/>
  <c r="I84" i="7" s="1"/>
  <c r="J55" i="7"/>
  <c r="J87" i="7" s="1"/>
  <c r="J58" i="7"/>
  <c r="J90" i="7" s="1"/>
  <c r="E45" i="7"/>
  <c r="E73" i="7" s="1"/>
  <c r="G45" i="7"/>
  <c r="G73" i="7" s="1"/>
  <c r="F79" i="7"/>
  <c r="G52" i="7"/>
  <c r="G84" i="7" s="1"/>
  <c r="J52" i="7"/>
  <c r="J84" i="7" s="1"/>
  <c r="K55" i="7"/>
  <c r="K87" i="7" s="1"/>
  <c r="H79" i="7"/>
  <c r="M58" i="7"/>
  <c r="M90" i="7" s="1"/>
  <c r="G83" i="7"/>
  <c r="M72" i="7"/>
  <c r="L86" i="7"/>
  <c r="M42" i="7"/>
  <c r="M66" i="7" s="1"/>
  <c r="G58" i="7"/>
  <c r="G90" i="7" s="1"/>
  <c r="O76" i="7"/>
  <c r="O73" i="7" s="1"/>
  <c r="L42" i="7"/>
  <c r="L66" i="7" s="1"/>
  <c r="M65" i="7"/>
  <c r="I86" i="7"/>
  <c r="N42" i="7"/>
  <c r="I73" i="7"/>
  <c r="D55" i="7"/>
  <c r="D87" i="7" s="1"/>
  <c r="J42" i="7"/>
  <c r="J66" i="7" s="1"/>
  <c r="G55" i="7"/>
  <c r="G87" i="7" s="1"/>
  <c r="L90" i="7"/>
  <c r="J86" i="7"/>
  <c r="E42" i="7"/>
  <c r="E66" i="7" s="1"/>
  <c r="E58" i="7"/>
  <c r="E90" i="7" s="1"/>
  <c r="K86" i="7"/>
  <c r="I79" i="7"/>
  <c r="F58" i="7"/>
  <c r="F90" i="7" s="1"/>
  <c r="H45" i="7"/>
  <c r="H73" i="7" s="1"/>
  <c r="J45" i="7"/>
  <c r="J73" i="7" s="1"/>
  <c r="E55" i="7"/>
  <c r="E87" i="7" s="1"/>
  <c r="K42" i="7"/>
  <c r="K66" i="7" s="1"/>
  <c r="L52" i="7"/>
  <c r="L84" i="7" s="1"/>
  <c r="E65" i="7"/>
  <c r="O67" i="7"/>
  <c r="R108" i="7"/>
  <c r="F42" i="7"/>
  <c r="F66" i="7" s="1"/>
  <c r="N75" i="7"/>
  <c r="E89" i="7"/>
  <c r="M89" i="7"/>
  <c r="L89" i="7"/>
  <c r="G42" i="7"/>
  <c r="G66" i="7" s="1"/>
  <c r="D52" i="7"/>
  <c r="D84" i="7" s="1"/>
  <c r="D58" i="7"/>
  <c r="D90" i="7" s="1"/>
  <c r="H72" i="7"/>
  <c r="K78" i="7"/>
  <c r="F89" i="7"/>
  <c r="F40" i="7"/>
  <c r="F65" i="7"/>
  <c r="I72" i="7"/>
  <c r="D78" i="7"/>
  <c r="L78" i="7"/>
  <c r="K83" i="7"/>
  <c r="G89" i="7"/>
  <c r="K58" i="7"/>
  <c r="K90" i="7" s="1"/>
  <c r="J78" i="7"/>
  <c r="H55" i="7"/>
  <c r="H87" i="7" s="1"/>
  <c r="O69" i="7"/>
  <c r="O75" i="7"/>
  <c r="G8" i="7"/>
  <c r="I42" i="7"/>
  <c r="I66" i="7" s="1"/>
  <c r="E52" i="7"/>
  <c r="E84" i="7" s="1"/>
  <c r="K45" i="7"/>
  <c r="K73" i="7" s="1"/>
  <c r="F52" i="7"/>
  <c r="F84" i="7" s="1"/>
  <c r="G65" i="7"/>
  <c r="J72" i="7"/>
  <c r="N74" i="7"/>
  <c r="E78" i="7"/>
  <c r="M78" i="7"/>
  <c r="L83" i="7"/>
  <c r="F45" i="7"/>
  <c r="F73" i="7" s="1"/>
  <c r="H42" i="7"/>
  <c r="H66" i="7" s="1"/>
  <c r="M52" i="7"/>
  <c r="M84" i="7" s="1"/>
  <c r="D45" i="7"/>
  <c r="D73" i="7" s="1"/>
  <c r="L45" i="7"/>
  <c r="L73" i="7" s="1"/>
  <c r="H65" i="7"/>
  <c r="G86" i="7"/>
  <c r="H52" i="7"/>
  <c r="H84" i="7" s="1"/>
  <c r="O84" i="7" l="1"/>
  <c r="P84" i="7" s="1"/>
  <c r="Q84" i="7" s="1"/>
  <c r="R84" i="7" s="1"/>
  <c r="O87" i="7"/>
  <c r="P87" i="7" s="1"/>
  <c r="Q87" i="7" s="1"/>
  <c r="R87" i="7" s="1"/>
  <c r="R28" i="7"/>
  <c r="R21" i="7"/>
  <c r="R34" i="7" s="1"/>
  <c r="G10" i="7"/>
  <c r="G11" i="7"/>
  <c r="O90" i="7"/>
  <c r="N73" i="7"/>
  <c r="R116" i="7"/>
  <c r="R118" i="7" s="1"/>
  <c r="N68" i="7"/>
  <c r="N67" i="7"/>
  <c r="N69" i="7"/>
  <c r="G9" i="7"/>
  <c r="O66" i="7"/>
  <c r="F50" i="7"/>
  <c r="F60" i="7" s="1"/>
  <c r="G40" i="7"/>
  <c r="N66" i="7" l="1"/>
  <c r="N65" i="7" s="1"/>
  <c r="N72" i="7" s="1"/>
  <c r="N81" i="7" s="1"/>
  <c r="R124" i="7"/>
  <c r="R120" i="7"/>
  <c r="R126" i="7" s="1"/>
  <c r="R119" i="7"/>
  <c r="R125" i="7" s="1"/>
  <c r="P73" i="7"/>
  <c r="P66" i="7"/>
  <c r="Q73" i="7"/>
  <c r="R73" i="7"/>
  <c r="H40" i="7"/>
  <c r="G50" i="7"/>
  <c r="G60" i="7" s="1"/>
  <c r="P90" i="7"/>
  <c r="C26" i="7" l="1"/>
  <c r="N86" i="7"/>
  <c r="N83" i="7"/>
  <c r="N89" i="7"/>
  <c r="O65" i="7"/>
  <c r="O72" i="7" s="1"/>
  <c r="O81" i="7" s="1"/>
  <c r="N110" i="7"/>
  <c r="H50" i="7"/>
  <c r="H60" i="7" s="1"/>
  <c r="I40" i="7"/>
  <c r="R66" i="7"/>
  <c r="Q66" i="7"/>
  <c r="Q90" i="7"/>
  <c r="N118" i="7" l="1"/>
  <c r="N124" i="7" s="1"/>
  <c r="N92" i="7"/>
  <c r="N93" i="7" s="1"/>
  <c r="P65" i="7"/>
  <c r="P83" i="7" s="1"/>
  <c r="O83" i="7"/>
  <c r="O86" i="7"/>
  <c r="O89" i="7"/>
  <c r="R90" i="7"/>
  <c r="I50" i="7"/>
  <c r="I60" i="7" s="1"/>
  <c r="J40" i="7"/>
  <c r="P72" i="7" l="1"/>
  <c r="P89" i="7"/>
  <c r="P86" i="7"/>
  <c r="Q65" i="7"/>
  <c r="Q83" i="7" s="1"/>
  <c r="O92" i="7"/>
  <c r="O93" i="7" s="1"/>
  <c r="K40" i="7"/>
  <c r="J50" i="7"/>
  <c r="J60" i="7" s="1"/>
  <c r="P78" i="7" l="1"/>
  <c r="P81" i="7" s="1"/>
  <c r="P92" i="7" s="1"/>
  <c r="P93" i="7" s="1"/>
  <c r="E10" i="7"/>
  <c r="Q89" i="7"/>
  <c r="Q72" i="7"/>
  <c r="Q78" i="7" s="1"/>
  <c r="Q81" i="7" s="1"/>
  <c r="R65" i="7"/>
  <c r="Q86" i="7"/>
  <c r="O130" i="7"/>
  <c r="O133" i="7" s="1"/>
  <c r="L40" i="7"/>
  <c r="K50" i="7"/>
  <c r="K60" i="7" s="1"/>
  <c r="R64" i="7" l="1"/>
  <c r="P64" i="7"/>
  <c r="E11" i="7"/>
  <c r="Q92" i="7"/>
  <c r="Q93" i="7" s="1"/>
  <c r="R63" i="7"/>
  <c r="P63" i="7"/>
  <c r="R83" i="7"/>
  <c r="R72" i="7"/>
  <c r="R89" i="7"/>
  <c r="R86" i="7"/>
  <c r="R138" i="7"/>
  <c r="R142" i="7" s="1"/>
  <c r="I32" i="7" s="1"/>
  <c r="R136" i="7"/>
  <c r="R140" i="7" s="1"/>
  <c r="G32" i="7" s="1"/>
  <c r="G34" i="7" s="1"/>
  <c r="R137" i="7"/>
  <c r="R141" i="7" s="1"/>
  <c r="H32" i="7" s="1"/>
  <c r="H34" i="7" s="1"/>
  <c r="L50" i="7"/>
  <c r="M40" i="7"/>
  <c r="N40" i="7" s="1"/>
  <c r="O40" i="7" s="1"/>
  <c r="P40" i="7" s="1"/>
  <c r="Q40" i="7" s="1"/>
  <c r="R40" i="7" s="1"/>
  <c r="R70" i="7" l="1"/>
  <c r="P71" i="7"/>
  <c r="P70" i="7"/>
  <c r="R71" i="7"/>
  <c r="I33" i="7"/>
  <c r="I35" i="7"/>
  <c r="H35" i="7"/>
  <c r="G37" i="7"/>
  <c r="G35" i="7"/>
  <c r="I37" i="7"/>
  <c r="R78" i="7"/>
  <c r="R81" i="7" s="1"/>
  <c r="R92" i="7" s="1"/>
  <c r="R95" i="7" s="1"/>
  <c r="R96" i="7" s="1"/>
  <c r="I34" i="7"/>
  <c r="G33" i="7"/>
  <c r="H33" i="7"/>
  <c r="H37" i="7"/>
  <c r="L60" i="7"/>
  <c r="M60" i="7" s="1"/>
  <c r="N60" i="7" s="1"/>
  <c r="M50" i="7"/>
  <c r="N50" i="7" s="1"/>
  <c r="O50" i="7" s="1"/>
  <c r="P50" i="7" s="1"/>
  <c r="Q50" i="7" s="1"/>
  <c r="R50" i="7" s="1"/>
  <c r="O60" i="7" l="1"/>
  <c r="P60" i="7" s="1"/>
  <c r="Q60" i="7" s="1"/>
  <c r="R60" i="7" s="1"/>
  <c r="R107" i="7" s="1"/>
  <c r="N123" i="7"/>
  <c r="R93" i="7"/>
  <c r="R97" i="7" s="1"/>
  <c r="R100" i="7" s="1"/>
  <c r="R103" i="7" s="1"/>
</calcChain>
</file>

<file path=xl/sharedStrings.xml><?xml version="1.0" encoding="utf-8"?>
<sst xmlns="http://schemas.openxmlformats.org/spreadsheetml/2006/main" count="455" uniqueCount="327">
  <si>
    <t xml:space="preserve">Conservativ </t>
  </si>
  <si>
    <t>Assumptions</t>
  </si>
  <si>
    <t>Switches</t>
  </si>
  <si>
    <t xml:space="preserve">Optimistic </t>
  </si>
  <si>
    <t>Year</t>
  </si>
  <si>
    <t>Revenue</t>
  </si>
  <si>
    <t>EBIT</t>
  </si>
  <si>
    <t xml:space="preserve">Revenue Growth </t>
  </si>
  <si>
    <t>WACC</t>
  </si>
  <si>
    <t>TGR</t>
  </si>
  <si>
    <t>EBIT Growth</t>
  </si>
  <si>
    <t>Valuation</t>
  </si>
  <si>
    <t xml:space="preserve">CAGR </t>
  </si>
  <si>
    <t>Base</t>
  </si>
  <si>
    <t>% growth</t>
  </si>
  <si>
    <t>Taxes</t>
  </si>
  <si>
    <t xml:space="preserve">Cash Flow Items </t>
  </si>
  <si>
    <t>D&amp;A</t>
  </si>
  <si>
    <t>CapEx</t>
  </si>
  <si>
    <t>Change in NWC</t>
  </si>
  <si>
    <t>Conservative Case</t>
  </si>
  <si>
    <t>Optimistic Case</t>
  </si>
  <si>
    <t>EBIAT</t>
  </si>
  <si>
    <t xml:space="preserve">Mittelwert Forecast </t>
  </si>
  <si>
    <t>Unlevered FCF</t>
  </si>
  <si>
    <t>Present Value of FCF</t>
  </si>
  <si>
    <t>Period</t>
  </si>
  <si>
    <t>Discount Period</t>
  </si>
  <si>
    <t>Terminal Value</t>
  </si>
  <si>
    <t>Present Value of Terminal Value</t>
  </si>
  <si>
    <t>Enterprise Value</t>
  </si>
  <si>
    <t>(+) Cash</t>
  </si>
  <si>
    <t>(-) Debt</t>
  </si>
  <si>
    <t>Equity Value</t>
  </si>
  <si>
    <t xml:space="preserve">Income Statement </t>
  </si>
  <si>
    <t xml:space="preserve">DCF </t>
  </si>
  <si>
    <t xml:space="preserve">% of Revenue </t>
  </si>
  <si>
    <t>Market Cap</t>
  </si>
  <si>
    <t>% of Equity</t>
  </si>
  <si>
    <t>Cost of Equity</t>
  </si>
  <si>
    <t>Debt</t>
  </si>
  <si>
    <t>% of Debt</t>
  </si>
  <si>
    <t>Cost of Debt</t>
  </si>
  <si>
    <t>Tax Rate</t>
  </si>
  <si>
    <t>Total</t>
  </si>
  <si>
    <t xml:space="preserve">Base </t>
  </si>
  <si>
    <t xml:space="preserve">Ticker </t>
  </si>
  <si>
    <t>Implied Upside/(Downside)</t>
  </si>
  <si>
    <t xml:space="preserve">Date </t>
  </si>
  <si>
    <t xml:space="preserve">Year end </t>
  </si>
  <si>
    <t xml:space="preserve">Market Value </t>
  </si>
  <si>
    <t xml:space="preserve">EV </t>
  </si>
  <si>
    <t xml:space="preserve">Overview </t>
  </si>
  <si>
    <t>Outstanding (M)</t>
  </si>
  <si>
    <t>EV per Share</t>
  </si>
  <si>
    <t>Metric 1</t>
  </si>
  <si>
    <t>Metric 2</t>
  </si>
  <si>
    <t>Metric 3</t>
  </si>
  <si>
    <t>Diluted Shares (Avergage)</t>
  </si>
  <si>
    <t xml:space="preserve">Tax rate </t>
  </si>
  <si>
    <t>Datum</t>
  </si>
  <si>
    <t>Eröffnungspreis</t>
  </si>
  <si>
    <t xml:space="preserve">https://www.cnbc.com/quotes/US10Y </t>
  </si>
  <si>
    <t xml:space="preserve">Risk Free Rate (10y US Treasury) </t>
  </si>
  <si>
    <t xml:space="preserve">https://www.kroll.com/en/insights/publications/cost-of-capital/recommended-us-equity-risk-premium-and-corresponding-risk-free-rates </t>
  </si>
  <si>
    <t xml:space="preserve">Net Income </t>
  </si>
  <si>
    <t xml:space="preserve">EPS </t>
  </si>
  <si>
    <t>EBIT (Operating Income/Operating Profit)</t>
  </si>
  <si>
    <t xml:space="preserve">EBIAT </t>
  </si>
  <si>
    <t xml:space="preserve">Tax Rate </t>
  </si>
  <si>
    <t xml:space="preserve">Interest Paid </t>
  </si>
  <si>
    <t xml:space="preserve">Time </t>
  </si>
  <si>
    <t xml:space="preserve">Conservative </t>
  </si>
  <si>
    <t xml:space="preserve">**Relevant Debt for EV: LT Debt, ST Debt, Capital Lease Obligations, Current Portion of Capital Leases and Pension Liabilities </t>
  </si>
  <si>
    <t>**(+) Debt</t>
  </si>
  <si>
    <t xml:space="preserve">Market Muliple Calculation - Ceterus Paribus </t>
  </si>
  <si>
    <t xml:space="preserve">Projected Trading Price </t>
  </si>
  <si>
    <t>Implied Price per Share (hard)</t>
  </si>
  <si>
    <t xml:space="preserve">EBIT </t>
  </si>
  <si>
    <t>Current SP</t>
  </si>
  <si>
    <t xml:space="preserve">Implied </t>
  </si>
  <si>
    <t xml:space="preserve">Diff. Implied to Projected </t>
  </si>
  <si>
    <t xml:space="preserve">DCF Calculation for Implied Share Price </t>
  </si>
  <si>
    <t>DCF &amp; Projected Price Terminal in M$</t>
  </si>
  <si>
    <t xml:space="preserve">Shares Outstanding TTM/Diluted (Average) </t>
  </si>
  <si>
    <r>
      <t>Share Price (EOB)/</t>
    </r>
    <r>
      <rPr>
        <b/>
        <sz val="12"/>
        <color rgb="FFFF007A"/>
        <rFont val="Avenir Book"/>
        <family val="2"/>
      </rPr>
      <t>Current Share Price</t>
    </r>
    <r>
      <rPr>
        <b/>
        <sz val="12"/>
        <color theme="0"/>
        <rFont val="Avenir Book"/>
        <family val="2"/>
      </rPr>
      <t xml:space="preserve"> </t>
    </r>
  </si>
  <si>
    <t>EPS Market Multiple (Average)</t>
  </si>
  <si>
    <t xml:space="preserve">EPS (Average) </t>
  </si>
  <si>
    <t>Share Price (Average)</t>
  </si>
  <si>
    <t>Projected Price per Share</t>
  </si>
  <si>
    <t xml:space="preserve">EPS (Average) + Discount for Safety </t>
  </si>
  <si>
    <t xml:space="preserve">Share Price (Average) + Discount for Safety </t>
  </si>
  <si>
    <t>CAGR "15-"29</t>
  </si>
  <si>
    <t>CAGR "25-"29</t>
  </si>
  <si>
    <t>Total "15-"24</t>
  </si>
  <si>
    <t>CAGR "15-"24</t>
  </si>
  <si>
    <t>Total "25-"29</t>
  </si>
  <si>
    <t>Total "15-"29</t>
  </si>
  <si>
    <t>(-) Cash &amp; Equi</t>
  </si>
  <si>
    <t xml:space="preserve">Qick FS </t>
  </si>
  <si>
    <t xml:space="preserve">or JA </t>
  </si>
  <si>
    <t>Implied Share Price</t>
  </si>
  <si>
    <t>Levered Beta (3y)</t>
  </si>
  <si>
    <t xml:space="preserve"> -&gt;</t>
  </si>
  <si>
    <t>Fill in -&gt; = hard!</t>
  </si>
  <si>
    <t xml:space="preserve">PEG-Ratio 2025 </t>
  </si>
  <si>
    <t>KGV 2025</t>
  </si>
  <si>
    <t xml:space="preserve">Projected </t>
  </si>
  <si>
    <t>Forecast 2029 (5y)</t>
  </si>
  <si>
    <t>use</t>
  </si>
  <si>
    <t>TGR (US 2,0%; EU 1,5%; China 3,3%)</t>
  </si>
  <si>
    <t xml:space="preserve">*Forecast from Gurufocus </t>
  </si>
  <si>
    <t xml:space="preserve">Cap. </t>
  </si>
  <si>
    <t>Cap.</t>
  </si>
  <si>
    <t>"25-"27</t>
  </si>
  <si>
    <t>"28-"29</t>
  </si>
  <si>
    <t>EV/Revenue 2025</t>
  </si>
  <si>
    <t>EV/EBIT 2025</t>
  </si>
  <si>
    <t>Cap./Revenue 2025</t>
  </si>
  <si>
    <t>*Forecast from MarketScreener (nur bis 2027)</t>
  </si>
  <si>
    <t>https://www.marketscreener.com/quote/stock/BLOCK-INC-24935553/finances/</t>
  </si>
  <si>
    <t>NVDA</t>
  </si>
  <si>
    <t>Balance Sheet</t>
  </si>
  <si>
    <t>2002-04</t>
  </si>
  <si>
    <t>2002-07</t>
  </si>
  <si>
    <t>2002-10</t>
  </si>
  <si>
    <t>2003-01</t>
  </si>
  <si>
    <t>2003-04</t>
  </si>
  <si>
    <t>2003-07</t>
  </si>
  <si>
    <t>2003-10</t>
  </si>
  <si>
    <t>2004-01</t>
  </si>
  <si>
    <t>2004-04</t>
  </si>
  <si>
    <t>2004-07</t>
  </si>
  <si>
    <t>2004-10</t>
  </si>
  <si>
    <t>2005-01</t>
  </si>
  <si>
    <t>2005-04</t>
  </si>
  <si>
    <t>2005-07</t>
  </si>
  <si>
    <t>2005-10</t>
  </si>
  <si>
    <t>2006-01</t>
  </si>
  <si>
    <t>2006-04</t>
  </si>
  <si>
    <t>2006-07</t>
  </si>
  <si>
    <t>2006-10</t>
  </si>
  <si>
    <t>2007-01</t>
  </si>
  <si>
    <t>2007-04</t>
  </si>
  <si>
    <t>2007-07</t>
  </si>
  <si>
    <t>2007-10</t>
  </si>
  <si>
    <t>2008-01</t>
  </si>
  <si>
    <t>2008-04</t>
  </si>
  <si>
    <t>2008-07</t>
  </si>
  <si>
    <t>2008-10</t>
  </si>
  <si>
    <t>2009-01</t>
  </si>
  <si>
    <t>2009-04</t>
  </si>
  <si>
    <t>2009-07</t>
  </si>
  <si>
    <t>2009-10</t>
  </si>
  <si>
    <t>2010-01</t>
  </si>
  <si>
    <t>2010-04</t>
  </si>
  <si>
    <t>2010-07</t>
  </si>
  <si>
    <t>2010-10</t>
  </si>
  <si>
    <t>2011-01</t>
  </si>
  <si>
    <t>2011-04</t>
  </si>
  <si>
    <t>2011-07</t>
  </si>
  <si>
    <t>2011-10</t>
  </si>
  <si>
    <t>2012-01</t>
  </si>
  <si>
    <t>2012-04</t>
  </si>
  <si>
    <t>2012-07</t>
  </si>
  <si>
    <t>2012-10</t>
  </si>
  <si>
    <t>2013-01</t>
  </si>
  <si>
    <t>2013-04</t>
  </si>
  <si>
    <t>2013-07</t>
  </si>
  <si>
    <t>2013-10</t>
  </si>
  <si>
    <t>2014-01</t>
  </si>
  <si>
    <t>2014-04</t>
  </si>
  <si>
    <t>2014-07</t>
  </si>
  <si>
    <t>2014-10</t>
  </si>
  <si>
    <t>2015-01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</si>
  <si>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</si>
  <si>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</si>
  <si>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</si>
  <si>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</si>
  <si>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</si>
  <si>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</si>
  <si>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</si>
  <si>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</si>
  <si>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2017-04</t>
  </si>
  <si>
    <t>2017-07</t>
  </si>
  <si>
    <t>2017-10</t>
  </si>
  <si>
    <t>2018-01</t>
  </si>
  <si>
    <t>2018-04</t>
  </si>
  <si>
    <t>2018-07</t>
  </si>
  <si>
    <t>2018-10</t>
  </si>
  <si>
    <t>2019-01</t>
  </si>
  <si>
    <t>2019-04</t>
  </si>
  <si>
    <t>2019-07</t>
  </si>
  <si>
    <t>2019-10</t>
  </si>
  <si>
    <t>2020-01</t>
  </si>
  <si>
    <t>2020-04</t>
  </si>
  <si>
    <t>2020-07</t>
  </si>
  <si>
    <t>2020-10</t>
  </si>
  <si>
    <t>2021-01</t>
  </si>
  <si>
    <t>2021-04</t>
  </si>
  <si>
    <t>2021-07</t>
  </si>
  <si>
    <t>2021-10</t>
  </si>
  <si>
    <t>2022-01</t>
  </si>
  <si>
    <t>2022-04</t>
  </si>
  <si>
    <t>2022-07</t>
  </si>
  <si>
    <t>2022-10</t>
  </si>
  <si>
    <t>2023-01</t>
  </si>
  <si>
    <t>2023-04</t>
  </si>
  <si>
    <t>2023-07</t>
  </si>
  <si>
    <t>2023-10</t>
  </si>
  <si>
    <t>2024-01</t>
  </si>
  <si>
    <t>2024-04</t>
  </si>
  <si>
    <t>2024-07</t>
  </si>
  <si>
    <t>2024-10</t>
  </si>
  <si>
    <t>2025-01</t>
  </si>
  <si>
    <t>2025-04</t>
  </si>
  <si>
    <t>Assets</t>
  </si>
  <si>
    <t>Cash and Equivalents</t>
  </si>
  <si>
    <t>Short-Term Investments</t>
  </si>
  <si>
    <t>Accounts Receivable</t>
  </si>
  <si>
    <t>Inventories</t>
  </si>
  <si>
    <t>Other Current Assets</t>
  </si>
  <si>
    <t xml:space="preserve">   Total Current Assets</t>
  </si>
  <si>
    <t xml:space="preserve">  Property, Plant, &amp; Equipment, Gross</t>
  </si>
  <si>
    <t xml:space="preserve">  Accumulated Depreciation</t>
  </si>
  <si>
    <t>Property, Plant, &amp; Equipment, Net</t>
  </si>
  <si>
    <t>Goodwill</t>
  </si>
  <si>
    <t>Other Intangible Assets</t>
  </si>
  <si>
    <t>Equity &amp; Other Investments</t>
  </si>
  <si>
    <t>Other Long-Term Assets</t>
  </si>
  <si>
    <t>Total Assets</t>
  </si>
  <si>
    <t>Liabilities</t>
  </si>
  <si>
    <t>Accounts Payable</t>
  </si>
  <si>
    <t>Tax Payable</t>
  </si>
  <si>
    <t>Other Accrued Liabilities</t>
  </si>
  <si>
    <t>Deferred Revenue</t>
  </si>
  <si>
    <t>Short-term Debt</t>
  </si>
  <si>
    <t>Deferred Tax Liabilities</t>
  </si>
  <si>
    <t>Current Portion of Capital Leases</t>
  </si>
  <si>
    <t>Other Current Liabilities</t>
  </si>
  <si>
    <t xml:space="preserve">   Total Current Liabilities</t>
  </si>
  <si>
    <t>Long-term Debt</t>
  </si>
  <si>
    <t>Capital Lease Obligations</t>
  </si>
  <si>
    <t>Pension Liabilities</t>
  </si>
  <si>
    <t>Other Long-Term Liabilities</t>
  </si>
  <si>
    <t>Total Liabilities</t>
  </si>
  <si>
    <t>Shareholders' Equity</t>
  </si>
  <si>
    <t>Additional Paid-in Capital</t>
  </si>
  <si>
    <t>Retained Earnings</t>
  </si>
  <si>
    <t>Treasury Stock</t>
  </si>
  <si>
    <t>Common Stock</t>
  </si>
  <si>
    <t>Preferred Stock</t>
  </si>
  <si>
    <t>Accumulated Other Comprehensive Income</t>
  </si>
  <si>
    <t>Minority Interest</t>
  </si>
  <si>
    <t>Other Equity</t>
  </si>
  <si>
    <t>Total Shareholders' Equity</t>
  </si>
  <si>
    <t>Liabilities &amp; Shareholders' Equity</t>
  </si>
  <si>
    <t>Common Shares Outstanding (End of Period)</t>
  </si>
  <si>
    <t>Invested Capital</t>
  </si>
  <si>
    <t>Total Equity</t>
  </si>
  <si>
    <t>Plus: Long-Term Debt</t>
  </si>
  <si>
    <t>Plus: Short-Term Debt</t>
  </si>
  <si>
    <t>Plus: Minority Interest</t>
  </si>
  <si>
    <t>Less: Cash &amp; Equivalents</t>
  </si>
  <si>
    <t xml:space="preserve">   Net Invested Capital</t>
  </si>
  <si>
    <t>Income Statement</t>
  </si>
  <si>
    <t>2002-01</t>
  </si>
  <si>
    <t>TTM</t>
  </si>
  <si>
    <t>Cost of Goods Sold</t>
  </si>
  <si>
    <t xml:space="preserve">   Gross Profit</t>
  </si>
  <si>
    <t>Operating Expenses</t>
  </si>
  <si>
    <t>Sales, General, &amp; Administrative</t>
  </si>
  <si>
    <t>Research &amp; Development</t>
  </si>
  <si>
    <t>Special Charges</t>
  </si>
  <si>
    <t>Other Operating Expense</t>
  </si>
  <si>
    <t>Operating Profit</t>
  </si>
  <si>
    <t>Net Interest Income</t>
  </si>
  <si>
    <t>Other Income (Expense)</t>
  </si>
  <si>
    <t xml:space="preserve">   Pre-Tax Profit</t>
  </si>
  <si>
    <t>Income Tax</t>
  </si>
  <si>
    <t xml:space="preserve">   Net Income from Continuing Ops.</t>
  </si>
  <si>
    <t>Net Income from Discontinued Ops.</t>
  </si>
  <si>
    <t>Other Items</t>
  </si>
  <si>
    <t>Net Income</t>
  </si>
  <si>
    <t>Basic EPS</t>
  </si>
  <si>
    <t>Diluted EPS</t>
  </si>
  <si>
    <t>Basic Shares Outstanding</t>
  </si>
  <si>
    <t>Diluted Shares Outstanding</t>
  </si>
  <si>
    <t>EBITDA</t>
  </si>
  <si>
    <t>Plus: Depreciation &amp; Amortization</t>
  </si>
  <si>
    <t xml:space="preserve">   EBITDA</t>
  </si>
  <si>
    <t>Cash Flow Statement</t>
  </si>
  <si>
    <t>Depreciation, Depletion, &amp; Amortization</t>
  </si>
  <si>
    <t xml:space="preserve">  Change in Receivables</t>
  </si>
  <si>
    <t xml:space="preserve">  Change in Inventory</t>
  </si>
  <si>
    <t xml:space="preserve">  Change in Prepaid Assets</t>
  </si>
  <si>
    <t xml:space="preserve">  Change in Other Working Capital</t>
  </si>
  <si>
    <t>Change in Working Capital (Total)</t>
  </si>
  <si>
    <t>Change in Deferred Tax</t>
  </si>
  <si>
    <t>Stock-Based Compensation</t>
  </si>
  <si>
    <t>Other Cash from Operations</t>
  </si>
  <si>
    <t xml:space="preserve">   Net Operating Cash Flow</t>
  </si>
  <si>
    <t>Net Purchases of PP&amp;E</t>
  </si>
  <si>
    <t>Net Cash From Acquisitions and Divestitures</t>
  </si>
  <si>
    <t>Net Purchases of Investments</t>
  </si>
  <si>
    <t>Net Purchases of Intangible Assets</t>
  </si>
  <si>
    <t>Other Cash from Investing</t>
  </si>
  <si>
    <t xml:space="preserve">   Net Investing Cash Flow</t>
  </si>
  <si>
    <t>Net Issuance of Common Stock</t>
  </si>
  <si>
    <t>Net Issuance of Preferred Stock</t>
  </si>
  <si>
    <t>Net Issuance of Debt</t>
  </si>
  <si>
    <t>Cash Paid for Dividends</t>
  </si>
  <si>
    <t>Other Cash from Financing</t>
  </si>
  <si>
    <t xml:space="preserve">   Net Financing Cash Flow</t>
  </si>
  <si>
    <t>Free Cash Flow</t>
  </si>
  <si>
    <t>Cash from Operations</t>
  </si>
  <si>
    <t>Less: Capital Exenditures</t>
  </si>
  <si>
    <t xml:space="preserve">   Free Cash Flow</t>
  </si>
  <si>
    <t>https://www.infrontanalytics.com/fe-DE/31436NU/NVIDIA-Corp-/Beta</t>
  </si>
  <si>
    <t>Market Risk Premium (ERP)</t>
  </si>
  <si>
    <t>https://valueinvesting.io/NVDA/valuation/wacc</t>
  </si>
  <si>
    <t xml:space="preserve">2025-01 -&gt; 2024 </t>
  </si>
  <si>
    <t>https://www.gurufocus.com/stock/NVDA/financials</t>
  </si>
  <si>
    <t xml:space="preserve">*Forecast from Marketscreener </t>
  </si>
  <si>
    <t xml:space="preserve">CAPM </t>
  </si>
  <si>
    <t>https://www.marketscreener.com/quote/stock/NVIDIA-CORPORATION-57355629/finances/</t>
  </si>
  <si>
    <t xml:space="preserve">Upside/(Downside) to Current SP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</si>
</sst>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\A"/>
    <numFmt numFmtId="165" formatCode="0&quot;E&quot;"/>
    <numFmt numFmtId="166" formatCode="&quot;$&quot;#,##0.00"/>
    <numFmt numFmtId="167" formatCode="0_);[Red]\(0\)"/>
    <numFmt numFmtId="168" formatCode="0.0%"/>
    <numFmt numFmtId="169" formatCode="\-\&gt;\ \ 0.0%"/>
    <numFmt numFmtId="170" formatCode="\x0.00"/>
  </numFmts>
  <fonts count="3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0"/>
      <name val="Avenir Book"/>
      <family val="2"/>
    </font>
    <font>
      <i/>
      <sz val="12"/>
      <color theme="0"/>
      <name val="Avenir Book"/>
      <family val="2"/>
    </font>
    <font>
      <u/>
      <sz val="12"/>
      <color theme="0"/>
      <name val="Avenir Book"/>
      <family val="2"/>
    </font>
    <font>
      <b/>
      <sz val="12"/>
      <color theme="0"/>
      <name val="Avenir Book"/>
      <family val="2"/>
    </font>
    <font>
      <sz val="12"/>
      <color theme="1"/>
      <name val="Avenir Book"/>
      <family val="2"/>
    </font>
    <font>
      <b/>
      <u/>
      <sz val="12"/>
      <color theme="0"/>
      <name val="Avenir Book"/>
      <family val="2"/>
    </font>
    <font>
      <b/>
      <i/>
      <sz val="12"/>
      <color theme="0"/>
      <name val="Avenir Book"/>
      <family val="2"/>
    </font>
    <font>
      <b/>
      <sz val="11"/>
      <color theme="0"/>
      <name val="Avenir Book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i/>
      <sz val="12"/>
      <color rgb="FFFFA82D"/>
      <name val="Avenir Book"/>
      <family val="2"/>
    </font>
    <font>
      <sz val="12"/>
      <color rgb="FFFFA82D"/>
      <name val="Avenir Book"/>
      <family val="2"/>
    </font>
    <font>
      <b/>
      <sz val="12"/>
      <color rgb="FFFFA82D"/>
      <name val="Avenir Book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0"/>
      <name val="Avenir Book"/>
      <family val="2"/>
    </font>
    <font>
      <sz val="12"/>
      <color rgb="FFFFFFFF"/>
      <name val="Avenir Book"/>
      <family val="2"/>
    </font>
    <font>
      <b/>
      <sz val="12"/>
      <color rgb="FFFF007A"/>
      <name val="Avenir Book"/>
      <family val="2"/>
    </font>
    <font>
      <b/>
      <sz val="12"/>
      <color rgb="FFFFFFFF"/>
      <name val="Avenir Book"/>
      <family val="2"/>
    </font>
    <font>
      <sz val="10"/>
      <color rgb="FFFFFFFF"/>
      <name val="Avenir Book"/>
      <family val="2"/>
    </font>
    <font>
      <b/>
      <sz val="9"/>
      <color rgb="FFFFFFFF"/>
      <name val="Verdana"/>
      <family val="2"/>
    </font>
    <font>
      <b/>
      <sz val="8"/>
      <color rgb="FFFFFFFF"/>
      <name val="Verdana"/>
      <family val="2"/>
    </font>
    <font>
      <sz val="8"/>
      <color rgb="FF008000"/>
      <name val="Verdana"/>
      <family val="2"/>
    </font>
    <font>
      <b/>
      <sz val="10"/>
      <color theme="0"/>
      <name val="Avenir Book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0CB37"/>
        <bgColor indexed="64"/>
      </patternFill>
    </fill>
    <fill>
      <patternFill patternType="solid">
        <fgColor rgb="FFFFA82D"/>
        <bgColor indexed="64"/>
      </patternFill>
    </fill>
    <fill>
      <patternFill patternType="solid">
        <fgColor rgb="FFFF007A"/>
        <bgColor indexed="64"/>
      </patternFill>
    </fill>
    <fill>
      <patternFill patternType="solid">
        <fgColor rgb="FF67001A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00336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double">
        <color rgb="FFA5A5A5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1" fillId="0" borderId="0"/>
  </cellStyleXfs>
  <cellXfs count="182">
    <xf numFmtId="0" fontId="0" fillId="0" borderId="0" xfId="0"/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9" fontId="5" fillId="2" borderId="0" xfId="1" applyFont="1" applyFill="1" applyBorder="1" applyAlignment="1">
      <alignment horizontal="center"/>
    </xf>
    <xf numFmtId="0" fontId="7" fillId="2" borderId="0" xfId="2" applyFont="1" applyFill="1"/>
    <xf numFmtId="0" fontId="9" fillId="0" borderId="0" xfId="0" applyFont="1"/>
    <xf numFmtId="0" fontId="8" fillId="2" borderId="0" xfId="0" applyFont="1" applyFill="1"/>
    <xf numFmtId="0" fontId="2" fillId="2" borderId="0" xfId="0" applyFont="1" applyFill="1"/>
    <xf numFmtId="0" fontId="9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9" fontId="3" fillId="2" borderId="0" xfId="1" applyFont="1" applyFill="1" applyBorder="1" applyAlignment="1">
      <alignment horizontal="center"/>
    </xf>
    <xf numFmtId="37" fontId="5" fillId="2" borderId="0" xfId="0" applyNumberFormat="1" applyFont="1" applyFill="1"/>
    <xf numFmtId="37" fontId="8" fillId="2" borderId="0" xfId="0" applyNumberFormat="1" applyFont="1" applyFill="1"/>
    <xf numFmtId="0" fontId="5" fillId="3" borderId="0" xfId="0" applyFont="1" applyFill="1"/>
    <xf numFmtId="0" fontId="8" fillId="3" borderId="0" xfId="0" applyFont="1" applyFill="1" applyAlignment="1">
      <alignment horizontal="left" indent="1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2" fillId="3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left" indent="1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5" fillId="2" borderId="0" xfId="0" quotePrefix="1" applyFont="1" applyFill="1" applyAlignment="1">
      <alignment horizontal="center"/>
    </xf>
    <xf numFmtId="0" fontId="6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center"/>
    </xf>
    <xf numFmtId="166" fontId="5" fillId="2" borderId="0" xfId="0" applyNumberFormat="1" applyFont="1" applyFill="1"/>
    <xf numFmtId="164" fontId="8" fillId="3" borderId="0" xfId="0" applyNumberFormat="1" applyFont="1" applyFill="1"/>
    <xf numFmtId="165" fontId="8" fillId="3" borderId="0" xfId="0" applyNumberFormat="1" applyFont="1" applyFill="1"/>
    <xf numFmtId="37" fontId="5" fillId="2" borderId="0" xfId="0" applyNumberFormat="1" applyFont="1" applyFill="1" applyAlignment="1">
      <alignment horizontal="right"/>
    </xf>
    <xf numFmtId="0" fontId="6" fillId="2" borderId="0" xfId="0" quotePrefix="1" applyFont="1" applyFill="1" applyAlignment="1">
      <alignment horizontal="right"/>
    </xf>
    <xf numFmtId="9" fontId="6" fillId="2" borderId="0" xfId="1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/>
    <xf numFmtId="0" fontId="8" fillId="4" borderId="0" xfId="0" applyFont="1" applyFill="1"/>
    <xf numFmtId="9" fontId="6" fillId="2" borderId="0" xfId="0" applyNumberFormat="1" applyFont="1" applyFill="1" applyAlignment="1">
      <alignment horizontal="right"/>
    </xf>
    <xf numFmtId="0" fontId="8" fillId="5" borderId="0" xfId="0" applyFont="1" applyFill="1"/>
    <xf numFmtId="0" fontId="8" fillId="6" borderId="0" xfId="0" applyFont="1" applyFill="1"/>
    <xf numFmtId="0" fontId="8" fillId="2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0" fillId="2" borderId="0" xfId="0" applyFill="1"/>
    <xf numFmtId="0" fontId="12" fillId="2" borderId="0" xfId="0" applyFont="1" applyFill="1"/>
    <xf numFmtId="38" fontId="13" fillId="0" borderId="0" xfId="0" applyNumberFormat="1" applyFont="1"/>
    <xf numFmtId="14" fontId="5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3" fontId="5" fillId="2" borderId="0" xfId="0" applyNumberFormat="1" applyFont="1" applyFill="1"/>
    <xf numFmtId="10" fontId="5" fillId="2" borderId="0" xfId="0" applyNumberFormat="1" applyFont="1" applyFill="1"/>
    <xf numFmtId="10" fontId="5" fillId="2" borderId="0" xfId="1" applyNumberFormat="1" applyFont="1" applyFill="1" applyBorder="1" applyAlignment="1">
      <alignment horizontal="center"/>
    </xf>
    <xf numFmtId="2" fontId="5" fillId="2" borderId="0" xfId="0" applyNumberFormat="1" applyFont="1" applyFill="1"/>
    <xf numFmtId="9" fontId="15" fillId="2" borderId="0" xfId="0" applyNumberFormat="1" applyFont="1" applyFill="1" applyAlignment="1">
      <alignment horizontal="right"/>
    </xf>
    <xf numFmtId="0" fontId="16" fillId="2" borderId="0" xfId="0" applyFont="1" applyFill="1"/>
    <xf numFmtId="0" fontId="17" fillId="2" borderId="0" xfId="0" applyFont="1" applyFill="1"/>
    <xf numFmtId="37" fontId="8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166" fontId="8" fillId="3" borderId="0" xfId="0" applyNumberFormat="1" applyFont="1" applyFill="1" applyAlignment="1">
      <alignment horizontal="right"/>
    </xf>
    <xf numFmtId="168" fontId="3" fillId="5" borderId="0" xfId="0" applyNumberFormat="1" applyFont="1" applyFill="1" applyAlignment="1">
      <alignment horizontal="right"/>
    </xf>
    <xf numFmtId="168" fontId="3" fillId="4" borderId="0" xfId="0" applyNumberFormat="1" applyFont="1" applyFill="1" applyAlignment="1">
      <alignment horizontal="right"/>
    </xf>
    <xf numFmtId="168" fontId="3" fillId="6" borderId="0" xfId="0" applyNumberFormat="1" applyFont="1" applyFill="1" applyAlignment="1">
      <alignment horizontal="right"/>
    </xf>
    <xf numFmtId="168" fontId="3" fillId="7" borderId="0" xfId="0" applyNumberFormat="1" applyFont="1" applyFill="1" applyAlignment="1">
      <alignment horizontal="right"/>
    </xf>
    <xf numFmtId="168" fontId="6" fillId="2" borderId="0" xfId="1" applyNumberFormat="1" applyFont="1" applyFill="1"/>
    <xf numFmtId="168" fontId="5" fillId="2" borderId="0" xfId="0" applyNumberFormat="1" applyFont="1" applyFill="1" applyAlignment="1">
      <alignment horizontal="right"/>
    </xf>
    <xf numFmtId="168" fontId="6" fillId="2" borderId="0" xfId="1" applyNumberFormat="1" applyFont="1" applyFill="1" applyBorder="1"/>
    <xf numFmtId="168" fontId="5" fillId="2" borderId="0" xfId="0" quotePrefix="1" applyNumberFormat="1" applyFont="1" applyFill="1" applyAlignment="1">
      <alignment horizontal="right"/>
    </xf>
    <xf numFmtId="168" fontId="5" fillId="2" borderId="0" xfId="1" applyNumberFormat="1" applyFont="1" applyFill="1" applyBorder="1" applyAlignment="1">
      <alignment horizontal="center"/>
    </xf>
    <xf numFmtId="168" fontId="5" fillId="5" borderId="0" xfId="1" applyNumberFormat="1" applyFont="1" applyFill="1" applyBorder="1" applyAlignment="1">
      <alignment horizontal="center"/>
    </xf>
    <xf numFmtId="168" fontId="5" fillId="2" borderId="0" xfId="1" applyNumberFormat="1" applyFont="1" applyFill="1"/>
    <xf numFmtId="168" fontId="5" fillId="5" borderId="0" xfId="1" applyNumberFormat="1" applyFont="1" applyFill="1"/>
    <xf numFmtId="0" fontId="4" fillId="2" borderId="0" xfId="2" applyFill="1"/>
    <xf numFmtId="0" fontId="4" fillId="2" borderId="0" xfId="2" applyFill="1" applyBorder="1"/>
    <xf numFmtId="37" fontId="8" fillId="3" borderId="0" xfId="0" applyNumberFormat="1" applyFont="1" applyFill="1"/>
    <xf numFmtId="168" fontId="3" fillId="2" borderId="0" xfId="1" applyNumberFormat="1" applyFont="1" applyFill="1" applyBorder="1" applyAlignment="1">
      <alignment horizontal="center"/>
    </xf>
    <xf numFmtId="37" fontId="5" fillId="5" borderId="0" xfId="0" applyNumberFormat="1" applyFont="1" applyFill="1" applyAlignment="1">
      <alignment horizontal="right"/>
    </xf>
    <xf numFmtId="37" fontId="5" fillId="5" borderId="0" xfId="0" applyNumberFormat="1" applyFont="1" applyFill="1"/>
    <xf numFmtId="0" fontId="6" fillId="5" borderId="0" xfId="0" applyFont="1" applyFill="1"/>
    <xf numFmtId="2" fontId="5" fillId="8" borderId="1" xfId="0" applyNumberFormat="1" applyFont="1" applyFill="1" applyBorder="1" applyAlignment="1">
      <alignment horizontal="right"/>
    </xf>
    <xf numFmtId="37" fontId="4" fillId="2" borderId="0" xfId="2" applyNumberFormat="1" applyFill="1"/>
    <xf numFmtId="0" fontId="11" fillId="3" borderId="0" xfId="0" applyFont="1" applyFill="1" applyAlignment="1">
      <alignment horizontal="center"/>
    </xf>
    <xf numFmtId="0" fontId="19" fillId="0" borderId="0" xfId="0" applyFont="1"/>
    <xf numFmtId="14" fontId="19" fillId="0" borderId="0" xfId="0" applyNumberFormat="1" applyFont="1"/>
    <xf numFmtId="0" fontId="18" fillId="0" borderId="0" xfId="0" applyFont="1"/>
    <xf numFmtId="0" fontId="22" fillId="2" borderId="0" xfId="0" applyFont="1" applyFill="1" applyAlignment="1">
      <alignment horizontal="left"/>
    </xf>
    <xf numFmtId="164" fontId="8" fillId="9" borderId="0" xfId="0" applyNumberFormat="1" applyFont="1" applyFill="1"/>
    <xf numFmtId="37" fontId="17" fillId="2" borderId="0" xfId="0" applyNumberFormat="1" applyFont="1" applyFill="1"/>
    <xf numFmtId="169" fontId="8" fillId="9" borderId="0" xfId="0" applyNumberFormat="1" applyFont="1" applyFill="1"/>
    <xf numFmtId="9" fontId="6" fillId="2" borderId="0" xfId="0" applyNumberFormat="1" applyFont="1" applyFill="1" applyAlignment="1">
      <alignment horizontal="left"/>
    </xf>
    <xf numFmtId="9" fontId="17" fillId="2" borderId="0" xfId="0" applyNumberFormat="1" applyFont="1" applyFill="1" applyAlignment="1">
      <alignment horizontal="left"/>
    </xf>
    <xf numFmtId="2" fontId="5" fillId="4" borderId="0" xfId="1" applyNumberFormat="1" applyFont="1" applyFill="1" applyBorder="1" applyAlignment="1">
      <alignment horizontal="center"/>
    </xf>
    <xf numFmtId="2" fontId="5" fillId="5" borderId="0" xfId="1" applyNumberFormat="1" applyFont="1" applyFill="1" applyBorder="1" applyAlignment="1">
      <alignment horizontal="center"/>
    </xf>
    <xf numFmtId="2" fontId="5" fillId="6" borderId="0" xfId="1" applyNumberFormat="1" applyFont="1" applyFill="1" applyBorder="1" applyAlignment="1">
      <alignment horizontal="center"/>
    </xf>
    <xf numFmtId="168" fontId="5" fillId="4" borderId="0" xfId="1" applyNumberFormat="1" applyFont="1" applyFill="1" applyBorder="1" applyAlignment="1">
      <alignment horizontal="center"/>
    </xf>
    <xf numFmtId="168" fontId="5" fillId="6" borderId="0" xfId="1" applyNumberFormat="1" applyFont="1" applyFill="1" applyBorder="1" applyAlignment="1">
      <alignment horizontal="center"/>
    </xf>
    <xf numFmtId="165" fontId="8" fillId="2" borderId="0" xfId="0" applyNumberFormat="1" applyFont="1" applyFill="1" applyAlignment="1">
      <alignment horizontal="right"/>
    </xf>
    <xf numFmtId="0" fontId="8" fillId="9" borderId="0" xfId="0" applyFont="1" applyFill="1"/>
    <xf numFmtId="0" fontId="23" fillId="10" borderId="0" xfId="0" applyFont="1" applyFill="1"/>
    <xf numFmtId="37" fontId="5" fillId="3" borderId="0" xfId="0" applyNumberFormat="1" applyFont="1" applyFill="1"/>
    <xf numFmtId="3" fontId="5" fillId="3" borderId="0" xfId="0" applyNumberFormat="1" applyFont="1" applyFill="1"/>
    <xf numFmtId="166" fontId="8" fillId="2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2" fontId="8" fillId="2" borderId="0" xfId="0" applyNumberFormat="1" applyFont="1" applyFill="1" applyAlignment="1">
      <alignment horizontal="right"/>
    </xf>
    <xf numFmtId="2" fontId="8" fillId="3" borderId="0" xfId="0" applyNumberFormat="1" applyFont="1" applyFill="1" applyAlignment="1">
      <alignment horizontal="right"/>
    </xf>
    <xf numFmtId="0" fontId="8" fillId="3" borderId="0" xfId="0" applyFont="1" applyFill="1" applyAlignment="1">
      <alignment horizontal="right"/>
    </xf>
    <xf numFmtId="2" fontId="5" fillId="3" borderId="0" xfId="0" applyNumberFormat="1" applyFont="1" applyFill="1"/>
    <xf numFmtId="37" fontId="8" fillId="2" borderId="0" xfId="0" applyNumberFormat="1" applyFont="1" applyFill="1" applyAlignment="1">
      <alignment horizontal="right"/>
    </xf>
    <xf numFmtId="37" fontId="8" fillId="5" borderId="0" xfId="0" applyNumberFormat="1" applyFont="1" applyFill="1" applyAlignment="1">
      <alignment horizontal="right"/>
    </xf>
    <xf numFmtId="168" fontId="8" fillId="3" borderId="0" xfId="0" applyNumberFormat="1" applyFont="1" applyFill="1" applyAlignment="1">
      <alignment horizontal="right"/>
    </xf>
    <xf numFmtId="3" fontId="8" fillId="3" borderId="0" xfId="0" applyNumberFormat="1" applyFont="1" applyFill="1" applyAlignment="1">
      <alignment horizontal="right"/>
    </xf>
    <xf numFmtId="2" fontId="8" fillId="3" borderId="0" xfId="0" applyNumberFormat="1" applyFont="1" applyFill="1"/>
    <xf numFmtId="0" fontId="8" fillId="3" borderId="0" xfId="0" applyFont="1" applyFill="1" applyAlignment="1">
      <alignment horizontal="left" indent="9"/>
    </xf>
    <xf numFmtId="2" fontId="8" fillId="3" borderId="0" xfId="0" applyNumberFormat="1" applyFont="1" applyFill="1" applyAlignment="1">
      <alignment horizontal="left" indent="9"/>
    </xf>
    <xf numFmtId="0" fontId="8" fillId="2" borderId="0" xfId="0" applyFont="1" applyFill="1" applyAlignment="1">
      <alignment horizontal="left" indent="9"/>
    </xf>
    <xf numFmtId="166" fontId="8" fillId="2" borderId="0" xfId="0" applyNumberFormat="1" applyFont="1" applyFill="1"/>
    <xf numFmtId="3" fontId="8" fillId="4" borderId="0" xfId="0" applyNumberFormat="1" applyFont="1" applyFill="1"/>
    <xf numFmtId="37" fontId="8" fillId="5" borderId="0" xfId="0" applyNumberFormat="1" applyFont="1" applyFill="1"/>
    <xf numFmtId="168" fontId="8" fillId="3" borderId="0" xfId="0" applyNumberFormat="1" applyFont="1" applyFill="1"/>
    <xf numFmtId="3" fontId="8" fillId="2" borderId="0" xfId="0" applyNumberFormat="1" applyFont="1" applyFill="1"/>
    <xf numFmtId="3" fontId="8" fillId="3" borderId="0" xfId="0" applyNumberFormat="1" applyFont="1" applyFill="1"/>
    <xf numFmtId="2" fontId="8" fillId="2" borderId="0" xfId="0" applyNumberFormat="1" applyFont="1" applyFill="1"/>
    <xf numFmtId="168" fontId="8" fillId="3" borderId="0" xfId="0" applyNumberFormat="1" applyFont="1" applyFill="1" applyAlignment="1">
      <alignment horizontal="center"/>
    </xf>
    <xf numFmtId="3" fontId="8" fillId="3" borderId="0" xfId="0" applyNumberFormat="1" applyFont="1" applyFill="1" applyAlignment="1">
      <alignment horizontal="center"/>
    </xf>
    <xf numFmtId="3" fontId="8" fillId="2" borderId="0" xfId="0" applyNumberFormat="1" applyFont="1" applyFill="1" applyAlignment="1">
      <alignment horizontal="center"/>
    </xf>
    <xf numFmtId="2" fontId="8" fillId="3" borderId="0" xfId="0" applyNumberFormat="1" applyFont="1" applyFill="1" applyAlignment="1">
      <alignment horizontal="center"/>
    </xf>
    <xf numFmtId="2" fontId="8" fillId="2" borderId="0" xfId="0" applyNumberFormat="1" applyFont="1" applyFill="1" applyAlignment="1">
      <alignment horizontal="center"/>
    </xf>
    <xf numFmtId="2" fontId="8" fillId="4" borderId="0" xfId="0" applyNumberFormat="1" applyFont="1" applyFill="1"/>
    <xf numFmtId="2" fontId="8" fillId="5" borderId="0" xfId="0" applyNumberFormat="1" applyFont="1" applyFill="1"/>
    <xf numFmtId="2" fontId="8" fillId="6" borderId="0" xfId="0" applyNumberFormat="1" applyFont="1" applyFill="1"/>
    <xf numFmtId="0" fontId="8" fillId="3" borderId="0" xfId="0" applyFont="1" applyFill="1" applyAlignment="1">
      <alignment horizontal="left"/>
    </xf>
    <xf numFmtId="0" fontId="8" fillId="3" borderId="0" xfId="0" applyFont="1" applyFill="1"/>
    <xf numFmtId="3" fontId="8" fillId="5" borderId="0" xfId="0" applyNumberFormat="1" applyFont="1" applyFill="1"/>
    <xf numFmtId="3" fontId="8" fillId="6" borderId="0" xfId="0" applyNumberFormat="1" applyFont="1" applyFill="1"/>
    <xf numFmtId="170" fontId="8" fillId="4" borderId="0" xfId="0" applyNumberFormat="1" applyFont="1" applyFill="1"/>
    <xf numFmtId="170" fontId="8" fillId="5" borderId="0" xfId="0" applyNumberFormat="1" applyFont="1" applyFill="1"/>
    <xf numFmtId="170" fontId="8" fillId="6" borderId="0" xfId="0" applyNumberFormat="1" applyFont="1" applyFill="1"/>
    <xf numFmtId="170" fontId="8" fillId="2" borderId="0" xfId="0" applyNumberFormat="1" applyFont="1" applyFill="1"/>
    <xf numFmtId="0" fontId="11" fillId="2" borderId="0" xfId="0" applyFont="1" applyFill="1" applyAlignment="1">
      <alignment horizontal="center"/>
    </xf>
    <xf numFmtId="0" fontId="22" fillId="2" borderId="0" xfId="0" applyFont="1" applyFill="1"/>
    <xf numFmtId="0" fontId="11" fillId="3" borderId="0" xfId="0" applyFont="1" applyFill="1"/>
    <xf numFmtId="0" fontId="11" fillId="2" borderId="0" xfId="0" applyFont="1" applyFill="1"/>
    <xf numFmtId="2" fontId="3" fillId="2" borderId="0" xfId="1" applyNumberFormat="1" applyFont="1" applyFill="1" applyBorder="1" applyAlignment="1">
      <alignment horizontal="center"/>
    </xf>
    <xf numFmtId="2" fontId="8" fillId="8" borderId="0" xfId="0" applyNumberFormat="1" applyFont="1" applyFill="1" applyAlignment="1">
      <alignment horizontal="right"/>
    </xf>
    <xf numFmtId="14" fontId="8" fillId="3" borderId="0" xfId="0" applyNumberFormat="1" applyFont="1" applyFill="1" applyAlignment="1">
      <alignment horizontal="right"/>
    </xf>
    <xf numFmtId="0" fontId="5" fillId="8" borderId="0" xfId="0" applyFont="1" applyFill="1"/>
    <xf numFmtId="0" fontId="5" fillId="9" borderId="0" xfId="0" applyFont="1" applyFill="1"/>
    <xf numFmtId="168" fontId="8" fillId="9" borderId="0" xfId="0" applyNumberFormat="1" applyFont="1" applyFill="1"/>
    <xf numFmtId="168" fontId="8" fillId="9" borderId="0" xfId="0" applyNumberFormat="1" applyFont="1" applyFill="1" applyAlignment="1">
      <alignment horizontal="center"/>
    </xf>
    <xf numFmtId="0" fontId="8" fillId="9" borderId="0" xfId="0" applyFont="1" applyFill="1" applyAlignment="1">
      <alignment horizontal="left"/>
    </xf>
    <xf numFmtId="0" fontId="25" fillId="10" borderId="0" xfId="0" applyFont="1" applyFill="1"/>
    <xf numFmtId="2" fontId="5" fillId="2" borderId="0" xfId="1" applyNumberFormat="1" applyFont="1" applyFill="1" applyBorder="1" applyAlignment="1">
      <alignment horizontal="center"/>
    </xf>
    <xf numFmtId="0" fontId="23" fillId="11" borderId="0" xfId="0" applyFont="1" applyFill="1"/>
    <xf numFmtId="3" fontId="5" fillId="4" borderId="0" xfId="1" applyNumberFormat="1" applyFont="1" applyFill="1" applyBorder="1" applyAlignment="1">
      <alignment horizontal="center"/>
    </xf>
    <xf numFmtId="3" fontId="5" fillId="5" borderId="0" xfId="1" applyNumberFormat="1" applyFont="1" applyFill="1" applyBorder="1" applyAlignment="1">
      <alignment horizontal="center"/>
    </xf>
    <xf numFmtId="3" fontId="5" fillId="6" borderId="0" xfId="1" applyNumberFormat="1" applyFont="1" applyFill="1" applyBorder="1" applyAlignment="1">
      <alignment horizontal="center"/>
    </xf>
    <xf numFmtId="0" fontId="26" fillId="10" borderId="0" xfId="0" applyFont="1" applyFill="1"/>
    <xf numFmtId="167" fontId="14" fillId="0" borderId="0" xfId="0" applyNumberFormat="1" applyFont="1" applyAlignment="1">
      <alignment horizontal="right"/>
    </xf>
    <xf numFmtId="168" fontId="3" fillId="5" borderId="0" xfId="1" applyNumberFormat="1" applyFont="1" applyFill="1" applyAlignment="1">
      <alignment horizontal="right"/>
    </xf>
    <xf numFmtId="170" fontId="5" fillId="2" borderId="0" xfId="0" applyNumberFormat="1" applyFont="1" applyFill="1" applyAlignment="1">
      <alignment horizontal="right"/>
    </xf>
    <xf numFmtId="170" fontId="5" fillId="2" borderId="0" xfId="1" applyNumberFormat="1" applyFont="1" applyFill="1" applyBorder="1" applyAlignment="1">
      <alignment horizontal="right"/>
    </xf>
    <xf numFmtId="38" fontId="27" fillId="12" borderId="0" xfId="0" applyNumberFormat="1" applyFont="1" applyFill="1"/>
    <xf numFmtId="38" fontId="28" fillId="12" borderId="0" xfId="0" applyNumberFormat="1" applyFont="1" applyFill="1"/>
    <xf numFmtId="38" fontId="0" fillId="0" borderId="0" xfId="0" applyNumberFormat="1"/>
    <xf numFmtId="167" fontId="14" fillId="0" borderId="2" xfId="0" applyNumberFormat="1" applyFont="1" applyBorder="1" applyAlignment="1">
      <alignment horizontal="right"/>
    </xf>
    <xf numFmtId="38" fontId="14" fillId="0" borderId="0" xfId="0" applyNumberFormat="1" applyFont="1"/>
    <xf numFmtId="167" fontId="14" fillId="0" borderId="0" xfId="0" applyNumberFormat="1" applyFont="1"/>
    <xf numFmtId="38" fontId="13" fillId="0" borderId="3" xfId="0" applyNumberFormat="1" applyFont="1" applyBorder="1"/>
    <xf numFmtId="38" fontId="14" fillId="0" borderId="4" xfId="0" applyNumberFormat="1" applyFont="1" applyBorder="1"/>
    <xf numFmtId="38" fontId="29" fillId="0" borderId="0" xfId="0" applyNumberFormat="1" applyFont="1"/>
    <xf numFmtId="38" fontId="29" fillId="0" borderId="3" xfId="0" applyNumberFormat="1" applyFont="1" applyBorder="1"/>
    <xf numFmtId="38" fontId="14" fillId="0" borderId="5" xfId="0" applyNumberFormat="1" applyFont="1" applyBorder="1"/>
    <xf numFmtId="0" fontId="13" fillId="0" borderId="0" xfId="0" applyFont="1"/>
    <xf numFmtId="0" fontId="13" fillId="0" borderId="0" xfId="0" applyFont="1" applyAlignment="1">
      <alignment vertical="center" wrapText="1"/>
    </xf>
    <xf numFmtId="168" fontId="5" fillId="2" borderId="0" xfId="0" applyNumberFormat="1" applyFont="1" applyFill="1"/>
    <xf numFmtId="0" fontId="30" fillId="2" borderId="0" xfId="0" applyFont="1" applyFill="1"/>
    <xf numFmtId="0" fontId="6" fillId="5" borderId="0" xfId="0" applyFont="1" applyFill="1" applyAlignment="1">
      <alignment horizontal="center"/>
    </xf>
    <xf numFmtId="2" fontId="8" fillId="2" borderId="0" xfId="0" applyNumberFormat="1" applyFont="1" applyFill="1" applyAlignment="1">
      <alignment horizontal="center" vertical="center"/>
    </xf>
  </cellXfs>
  <cellStyles count="4">
    <cellStyle name="Link" xfId="2" builtinId="8"/>
    <cellStyle name="Normal 2" xfId="3" xr:uid="{FF2888E5-192C-2840-930A-CFD3A21D00E8}"/>
    <cellStyle name="Prozent" xfId="1" builtinId="5"/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colors>
    <mruColors>
      <color rgb="FF76B900"/>
      <color rgb="FF30CB37"/>
      <color rgb="FF67001A"/>
      <color rgb="FFFF007A"/>
      <color rgb="FFFFA82D"/>
      <color rgb="FF000000"/>
      <color rgb="FF8863F5"/>
      <color rgb="FF29BA74"/>
      <color rgb="FFFFFFFF"/>
      <color rgb="FFF538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r>
              <a:rPr lang="de-DE" sz="1200" b="1" u="none">
                <a:solidFill>
                  <a:schemeClr val="bg1"/>
                </a:solidFill>
                <a:latin typeface="Avenir Book" panose="02000503020000020003" pitchFamily="2" charset="0"/>
              </a:rPr>
              <a:t>5y</a:t>
            </a:r>
          </a:p>
        </c:rich>
      </c:tx>
      <c:layout>
        <c:manualLayout>
          <c:xMode val="edge"/>
          <c:yMode val="edge"/>
          <c:x val="0.94617037714405117"/>
          <c:y val="3.51830953437426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Book" panose="02000503020000020003" pitchFamily="2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9575451715456477E-2"/>
          <c:y val="6.9331630686870968E-2"/>
          <c:w val="0.8994210358255551"/>
          <c:h val="0.79391808341312764"/>
        </c:manualLayout>
      </c:layout>
      <c:barChart>
        <c:barDir val="col"/>
        <c:grouping val="clustered"/>
        <c:varyColors val="0"/>
        <c:ser>
          <c:idx val="0"/>
          <c:order val="0"/>
          <c:tx>
            <c:v>Current Share Price</c:v>
          </c:tx>
          <c:spPr>
            <a:solidFill>
              <a:srgbClr val="FF007A"/>
            </a:solidFill>
            <a:ln>
              <a:noFill/>
            </a:ln>
            <a:effectLst/>
          </c:spPr>
          <c:invertIfNegative val="0"/>
          <c:val>
            <c:numRef>
              <c:f>'DCF &amp; Projected Price Terminal '!$E$8</c:f>
              <c:numCache>
                <c:formatCode>0.00</c:formatCode>
                <c:ptCount val="1"/>
                <c:pt idx="0">
                  <c:v>142.29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7-D84E-B6CB-531570018F00}"/>
            </c:ext>
          </c:extLst>
        </c:ser>
        <c:ser>
          <c:idx val="1"/>
          <c:order val="1"/>
          <c:tx>
            <c:v>Conservativ Implied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'DCF &amp; Projected Price Terminal '!$G$28</c:f>
              <c:numCache>
                <c:formatCode>0.00</c:formatCode>
                <c:ptCount val="1"/>
                <c:pt idx="0">
                  <c:v>80.599999999999994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7-D84E-B6CB-531570018F00}"/>
            </c:ext>
          </c:extLst>
        </c:ser>
        <c:ser>
          <c:idx val="4"/>
          <c:order val="2"/>
          <c:tx>
            <c:v>Conservativ Projected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'DCF &amp; Projected Price Terminal '!$G$32</c:f>
              <c:numCache>
                <c:formatCode>0.00</c:formatCode>
                <c:ptCount val="1"/>
                <c:pt idx="0">
                  <c:v>301.07421705297685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B7-D84E-B6CB-531570018F00}"/>
            </c:ext>
          </c:extLst>
        </c:ser>
        <c:ser>
          <c:idx val="2"/>
          <c:order val="3"/>
          <c:tx>
            <c:v>Base Implied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'DCF &amp; Projected Price Terminal '!$H$28</c:f>
              <c:numCache>
                <c:formatCode>0.00</c:formatCode>
                <c:ptCount val="1"/>
                <c:pt idx="0">
                  <c:v>90.79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7-D84E-B6CB-531570018F00}"/>
            </c:ext>
          </c:extLst>
        </c:ser>
        <c:ser>
          <c:idx val="5"/>
          <c:order val="4"/>
          <c:tx>
            <c:v>Base Projected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'DCF &amp; Projected Price Terminal '!$H$32</c:f>
              <c:numCache>
                <c:formatCode>0.00</c:formatCode>
                <c:ptCount val="1"/>
                <c:pt idx="0">
                  <c:v>315.6909413169372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B7-D84E-B6CB-531570018F00}"/>
            </c:ext>
          </c:extLst>
        </c:ser>
        <c:ser>
          <c:idx val="3"/>
          <c:order val="5"/>
          <c:tx>
            <c:v>Optimistic Implied</c:v>
          </c:tx>
          <c:spPr>
            <a:solidFill>
              <a:srgbClr val="30CB37"/>
            </a:solidFill>
            <a:ln>
              <a:noFill/>
            </a:ln>
            <a:effectLst/>
          </c:spPr>
          <c:invertIfNegative val="0"/>
          <c:val>
            <c:numRef>
              <c:f>'DCF &amp; Projected Price Terminal '!$I$28</c:f>
              <c:numCache>
                <c:formatCode>0.00</c:formatCode>
                <c:ptCount val="1"/>
                <c:pt idx="0">
                  <c:v>105.82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B7-D84E-B6CB-531570018F00}"/>
            </c:ext>
          </c:extLst>
        </c:ser>
        <c:ser>
          <c:idx val="6"/>
          <c:order val="6"/>
          <c:tx>
            <c:v>Optimistic Projected</c:v>
          </c:tx>
          <c:spPr>
            <a:solidFill>
              <a:srgbClr val="30CB37"/>
            </a:solidFill>
            <a:ln>
              <a:noFill/>
            </a:ln>
            <a:effectLst/>
          </c:spPr>
          <c:invertIfNegative val="0"/>
          <c:val>
            <c:numRef>
              <c:f>'DCF &amp; Projected Price Terminal '!$I$32</c:f>
              <c:numCache>
                <c:formatCode>0.00</c:formatCode>
                <c:ptCount val="1"/>
                <c:pt idx="0">
                  <c:v>421.08987774717127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DB7-D84E-B6CB-531570018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9"/>
        <c:axId val="836585856"/>
        <c:axId val="836587568"/>
      </c:barChart>
      <c:catAx>
        <c:axId val="836585856"/>
        <c:scaling>
          <c:orientation val="minMax"/>
        </c:scaling>
        <c:delete val="1"/>
        <c:axPos val="b"/>
        <c:majorTickMark val="none"/>
        <c:minorTickMark val="none"/>
        <c:tickLblPos val="nextTo"/>
        <c:crossAx val="836587568"/>
        <c:crosses val="autoZero"/>
        <c:auto val="1"/>
        <c:lblAlgn val="ctr"/>
        <c:lblOffset val="100"/>
        <c:noMultiLvlLbl val="0"/>
      </c:catAx>
      <c:valAx>
        <c:axId val="836587568"/>
        <c:scaling>
          <c:orientation val="minMax"/>
          <c:max val="450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de-DE"/>
          </a:p>
        </c:txPr>
        <c:crossAx val="836585856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3186100292859934E-3"/>
          <c:y val="0.88303609362982716"/>
          <c:w val="0.98673464515670717"/>
          <c:h val="0.11696390637017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Avenir Book" panose="02000503020000020003" pitchFamily="2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30CB37">
        <a:alpha val="0"/>
      </a:srgbClr>
    </a:solidFill>
    <a:ln w="254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r>
              <a:rPr lang="de-DE" sz="1600" b="1" baseline="0">
                <a:solidFill>
                  <a:schemeClr val="bg1"/>
                </a:solidFill>
                <a:latin typeface="Avenir Book" panose="02000503020000020003" pitchFamily="2" charset="0"/>
              </a:rPr>
              <a:t>Share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Avenir Book" panose="02000503020000020003" pitchFamily="2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9299536216474536E-2"/>
          <c:y val="0.16836454850387961"/>
          <c:w val="0.94132969201000805"/>
          <c:h val="0.64682461782363632"/>
        </c:manualLayout>
      </c:layout>
      <c:lineChart>
        <c:grouping val="standard"/>
        <c:varyColors val="0"/>
        <c:ser>
          <c:idx val="0"/>
          <c:order val="0"/>
          <c:tx>
            <c:strRef>
              <c:f>'Share Price 5y'!$D$2</c:f>
              <c:strCache>
                <c:ptCount val="1"/>
                <c:pt idx="0">
                  <c:v>Eröffnungspreis</c:v>
                </c:pt>
              </c:strCache>
            </c:strRef>
          </c:tx>
          <c:spPr>
            <a:ln w="25400" cap="rnd">
              <a:solidFill>
                <a:srgbClr val="76B900"/>
              </a:solidFill>
              <a:round/>
            </a:ln>
            <a:effectLst/>
          </c:spPr>
          <c:marker>
            <c:symbol val="none"/>
          </c:marker>
          <c:cat>
            <c:numRef>
              <c:f>'Share Price 5y'!$C$3:$C$1752</c:f>
              <c:numCache>
                <c:formatCode>m/d/yy</c:formatCode>
                <c:ptCount val="1750"/>
                <c:pt idx="0">
                  <c:v>43990</c:v>
                </c:pt>
                <c:pt idx="1">
                  <c:v>43991</c:v>
                </c:pt>
                <c:pt idx="2">
                  <c:v>43992</c:v>
                </c:pt>
                <c:pt idx="3">
                  <c:v>43993</c:v>
                </c:pt>
                <c:pt idx="4">
                  <c:v>43994</c:v>
                </c:pt>
                <c:pt idx="5">
                  <c:v>43997</c:v>
                </c:pt>
                <c:pt idx="6">
                  <c:v>43998</c:v>
                </c:pt>
                <c:pt idx="7">
                  <c:v>43999</c:v>
                </c:pt>
                <c:pt idx="8">
                  <c:v>44000</c:v>
                </c:pt>
                <c:pt idx="9">
                  <c:v>44001</c:v>
                </c:pt>
                <c:pt idx="10">
                  <c:v>44004</c:v>
                </c:pt>
                <c:pt idx="11">
                  <c:v>44005</c:v>
                </c:pt>
                <c:pt idx="12">
                  <c:v>44006</c:v>
                </c:pt>
                <c:pt idx="13">
                  <c:v>44007</c:v>
                </c:pt>
                <c:pt idx="14">
                  <c:v>44008</c:v>
                </c:pt>
                <c:pt idx="15">
                  <c:v>44011</c:v>
                </c:pt>
                <c:pt idx="16">
                  <c:v>44012</c:v>
                </c:pt>
                <c:pt idx="17">
                  <c:v>44013</c:v>
                </c:pt>
                <c:pt idx="18">
                  <c:v>44014</c:v>
                </c:pt>
                <c:pt idx="19">
                  <c:v>44018</c:v>
                </c:pt>
                <c:pt idx="20">
                  <c:v>44019</c:v>
                </c:pt>
                <c:pt idx="21">
                  <c:v>44020</c:v>
                </c:pt>
                <c:pt idx="22">
                  <c:v>44021</c:v>
                </c:pt>
                <c:pt idx="23">
                  <c:v>44022</c:v>
                </c:pt>
                <c:pt idx="24">
                  <c:v>44025</c:v>
                </c:pt>
                <c:pt idx="25">
                  <c:v>44026</c:v>
                </c:pt>
                <c:pt idx="26">
                  <c:v>44027</c:v>
                </c:pt>
                <c:pt idx="27">
                  <c:v>44028</c:v>
                </c:pt>
                <c:pt idx="28">
                  <c:v>44029</c:v>
                </c:pt>
                <c:pt idx="29">
                  <c:v>44032</c:v>
                </c:pt>
                <c:pt idx="30">
                  <c:v>44033</c:v>
                </c:pt>
                <c:pt idx="31">
                  <c:v>44034</c:v>
                </c:pt>
                <c:pt idx="32">
                  <c:v>44035</c:v>
                </c:pt>
                <c:pt idx="33">
                  <c:v>44036</c:v>
                </c:pt>
                <c:pt idx="34">
                  <c:v>44039</c:v>
                </c:pt>
                <c:pt idx="35">
                  <c:v>44040</c:v>
                </c:pt>
                <c:pt idx="36">
                  <c:v>44041</c:v>
                </c:pt>
                <c:pt idx="37">
                  <c:v>44042</c:v>
                </c:pt>
                <c:pt idx="38">
                  <c:v>44043</c:v>
                </c:pt>
                <c:pt idx="39">
                  <c:v>44046</c:v>
                </c:pt>
                <c:pt idx="40">
                  <c:v>44047</c:v>
                </c:pt>
                <c:pt idx="41">
                  <c:v>44048</c:v>
                </c:pt>
                <c:pt idx="42">
                  <c:v>44049</c:v>
                </c:pt>
                <c:pt idx="43">
                  <c:v>44050</c:v>
                </c:pt>
                <c:pt idx="44">
                  <c:v>44053</c:v>
                </c:pt>
                <c:pt idx="45">
                  <c:v>44054</c:v>
                </c:pt>
                <c:pt idx="46">
                  <c:v>44055</c:v>
                </c:pt>
                <c:pt idx="47">
                  <c:v>44056</c:v>
                </c:pt>
                <c:pt idx="48">
                  <c:v>44057</c:v>
                </c:pt>
                <c:pt idx="49">
                  <c:v>44060</c:v>
                </c:pt>
                <c:pt idx="50">
                  <c:v>44061</c:v>
                </c:pt>
                <c:pt idx="51">
                  <c:v>44062</c:v>
                </c:pt>
                <c:pt idx="52">
                  <c:v>44063</c:v>
                </c:pt>
                <c:pt idx="53">
                  <c:v>44064</c:v>
                </c:pt>
                <c:pt idx="54">
                  <c:v>44067</c:v>
                </c:pt>
                <c:pt idx="55">
                  <c:v>44068</c:v>
                </c:pt>
                <c:pt idx="56">
                  <c:v>44069</c:v>
                </c:pt>
                <c:pt idx="57">
                  <c:v>44070</c:v>
                </c:pt>
                <c:pt idx="58">
                  <c:v>44071</c:v>
                </c:pt>
                <c:pt idx="59">
                  <c:v>44074</c:v>
                </c:pt>
                <c:pt idx="60">
                  <c:v>44075</c:v>
                </c:pt>
                <c:pt idx="61">
                  <c:v>44076</c:v>
                </c:pt>
                <c:pt idx="62">
                  <c:v>44077</c:v>
                </c:pt>
                <c:pt idx="63">
                  <c:v>44078</c:v>
                </c:pt>
                <c:pt idx="64">
                  <c:v>44082</c:v>
                </c:pt>
                <c:pt idx="65">
                  <c:v>44083</c:v>
                </c:pt>
                <c:pt idx="66">
                  <c:v>44084</c:v>
                </c:pt>
                <c:pt idx="67">
                  <c:v>44085</c:v>
                </c:pt>
                <c:pt idx="68">
                  <c:v>44088</c:v>
                </c:pt>
                <c:pt idx="69">
                  <c:v>44089</c:v>
                </c:pt>
                <c:pt idx="70">
                  <c:v>44090</c:v>
                </c:pt>
                <c:pt idx="71">
                  <c:v>44091</c:v>
                </c:pt>
                <c:pt idx="72">
                  <c:v>44092</c:v>
                </c:pt>
                <c:pt idx="73">
                  <c:v>44095</c:v>
                </c:pt>
                <c:pt idx="74">
                  <c:v>44096</c:v>
                </c:pt>
                <c:pt idx="75">
                  <c:v>44097</c:v>
                </c:pt>
                <c:pt idx="76">
                  <c:v>44098</c:v>
                </c:pt>
                <c:pt idx="77">
                  <c:v>44099</c:v>
                </c:pt>
                <c:pt idx="78">
                  <c:v>44102</c:v>
                </c:pt>
                <c:pt idx="79">
                  <c:v>44103</c:v>
                </c:pt>
                <c:pt idx="80">
                  <c:v>44104</c:v>
                </c:pt>
                <c:pt idx="81">
                  <c:v>44105</c:v>
                </c:pt>
                <c:pt idx="82">
                  <c:v>44106</c:v>
                </c:pt>
                <c:pt idx="83">
                  <c:v>44109</c:v>
                </c:pt>
                <c:pt idx="84">
                  <c:v>44110</c:v>
                </c:pt>
                <c:pt idx="85">
                  <c:v>44111</c:v>
                </c:pt>
                <c:pt idx="86">
                  <c:v>44112</c:v>
                </c:pt>
                <c:pt idx="87">
                  <c:v>44113</c:v>
                </c:pt>
                <c:pt idx="88">
                  <c:v>44116</c:v>
                </c:pt>
                <c:pt idx="89">
                  <c:v>44117</c:v>
                </c:pt>
                <c:pt idx="90">
                  <c:v>44118</c:v>
                </c:pt>
                <c:pt idx="91">
                  <c:v>44119</c:v>
                </c:pt>
                <c:pt idx="92">
                  <c:v>44120</c:v>
                </c:pt>
                <c:pt idx="93">
                  <c:v>44123</c:v>
                </c:pt>
                <c:pt idx="94">
                  <c:v>44124</c:v>
                </c:pt>
                <c:pt idx="95">
                  <c:v>44125</c:v>
                </c:pt>
                <c:pt idx="96">
                  <c:v>44126</c:v>
                </c:pt>
                <c:pt idx="97">
                  <c:v>44127</c:v>
                </c:pt>
                <c:pt idx="98">
                  <c:v>44130</c:v>
                </c:pt>
                <c:pt idx="99">
                  <c:v>44131</c:v>
                </c:pt>
                <c:pt idx="100">
                  <c:v>44132</c:v>
                </c:pt>
                <c:pt idx="101">
                  <c:v>44133</c:v>
                </c:pt>
                <c:pt idx="102">
                  <c:v>44134</c:v>
                </c:pt>
                <c:pt idx="103">
                  <c:v>44137</c:v>
                </c:pt>
                <c:pt idx="104">
                  <c:v>44138</c:v>
                </c:pt>
                <c:pt idx="105">
                  <c:v>44139</c:v>
                </c:pt>
                <c:pt idx="106">
                  <c:v>44140</c:v>
                </c:pt>
                <c:pt idx="107">
                  <c:v>44141</c:v>
                </c:pt>
                <c:pt idx="108">
                  <c:v>44144</c:v>
                </c:pt>
                <c:pt idx="109">
                  <c:v>44145</c:v>
                </c:pt>
                <c:pt idx="110">
                  <c:v>44146</c:v>
                </c:pt>
                <c:pt idx="111">
                  <c:v>44147</c:v>
                </c:pt>
                <c:pt idx="112">
                  <c:v>44148</c:v>
                </c:pt>
                <c:pt idx="113">
                  <c:v>44151</c:v>
                </c:pt>
                <c:pt idx="114">
                  <c:v>44152</c:v>
                </c:pt>
                <c:pt idx="115">
                  <c:v>44153</c:v>
                </c:pt>
                <c:pt idx="116">
                  <c:v>44154</c:v>
                </c:pt>
                <c:pt idx="117">
                  <c:v>44155</c:v>
                </c:pt>
                <c:pt idx="118">
                  <c:v>44158</c:v>
                </c:pt>
                <c:pt idx="119">
                  <c:v>44159</c:v>
                </c:pt>
                <c:pt idx="120">
                  <c:v>44160</c:v>
                </c:pt>
                <c:pt idx="121">
                  <c:v>44162</c:v>
                </c:pt>
                <c:pt idx="122">
                  <c:v>44165</c:v>
                </c:pt>
                <c:pt idx="123">
                  <c:v>44166</c:v>
                </c:pt>
                <c:pt idx="124">
                  <c:v>44167</c:v>
                </c:pt>
                <c:pt idx="125">
                  <c:v>44168</c:v>
                </c:pt>
                <c:pt idx="126">
                  <c:v>44169</c:v>
                </c:pt>
                <c:pt idx="127">
                  <c:v>44172</c:v>
                </c:pt>
                <c:pt idx="128">
                  <c:v>44173</c:v>
                </c:pt>
                <c:pt idx="129">
                  <c:v>44174</c:v>
                </c:pt>
                <c:pt idx="130">
                  <c:v>44175</c:v>
                </c:pt>
                <c:pt idx="131">
                  <c:v>44176</c:v>
                </c:pt>
                <c:pt idx="132">
                  <c:v>44179</c:v>
                </c:pt>
                <c:pt idx="133">
                  <c:v>44180</c:v>
                </c:pt>
                <c:pt idx="134">
                  <c:v>44181</c:v>
                </c:pt>
                <c:pt idx="135">
                  <c:v>44182</c:v>
                </c:pt>
                <c:pt idx="136">
                  <c:v>44183</c:v>
                </c:pt>
                <c:pt idx="137">
                  <c:v>44186</c:v>
                </c:pt>
                <c:pt idx="138">
                  <c:v>44187</c:v>
                </c:pt>
                <c:pt idx="139">
                  <c:v>44188</c:v>
                </c:pt>
                <c:pt idx="140">
                  <c:v>44189</c:v>
                </c:pt>
                <c:pt idx="141">
                  <c:v>44193</c:v>
                </c:pt>
                <c:pt idx="142">
                  <c:v>44194</c:v>
                </c:pt>
                <c:pt idx="143">
                  <c:v>44195</c:v>
                </c:pt>
                <c:pt idx="144">
                  <c:v>44196</c:v>
                </c:pt>
                <c:pt idx="145">
                  <c:v>44200</c:v>
                </c:pt>
                <c:pt idx="146">
                  <c:v>44201</c:v>
                </c:pt>
                <c:pt idx="147">
                  <c:v>44202</c:v>
                </c:pt>
                <c:pt idx="148">
                  <c:v>44203</c:v>
                </c:pt>
                <c:pt idx="149">
                  <c:v>44204</c:v>
                </c:pt>
                <c:pt idx="150">
                  <c:v>44207</c:v>
                </c:pt>
                <c:pt idx="151">
                  <c:v>44208</c:v>
                </c:pt>
                <c:pt idx="152">
                  <c:v>44209</c:v>
                </c:pt>
                <c:pt idx="153">
                  <c:v>44210</c:v>
                </c:pt>
                <c:pt idx="154">
                  <c:v>44211</c:v>
                </c:pt>
                <c:pt idx="155">
                  <c:v>44215</c:v>
                </c:pt>
                <c:pt idx="156">
                  <c:v>44216</c:v>
                </c:pt>
                <c:pt idx="157">
                  <c:v>44217</c:v>
                </c:pt>
                <c:pt idx="158">
                  <c:v>44218</c:v>
                </c:pt>
                <c:pt idx="159">
                  <c:v>44221</c:v>
                </c:pt>
                <c:pt idx="160">
                  <c:v>44222</c:v>
                </c:pt>
                <c:pt idx="161">
                  <c:v>44223</c:v>
                </c:pt>
                <c:pt idx="162">
                  <c:v>44224</c:v>
                </c:pt>
                <c:pt idx="163">
                  <c:v>44225</c:v>
                </c:pt>
                <c:pt idx="164">
                  <c:v>44228</c:v>
                </c:pt>
                <c:pt idx="165">
                  <c:v>44229</c:v>
                </c:pt>
                <c:pt idx="166">
                  <c:v>44230</c:v>
                </c:pt>
                <c:pt idx="167">
                  <c:v>44231</c:v>
                </c:pt>
                <c:pt idx="168">
                  <c:v>44232</c:v>
                </c:pt>
                <c:pt idx="169">
                  <c:v>44235</c:v>
                </c:pt>
                <c:pt idx="170">
                  <c:v>44236</c:v>
                </c:pt>
                <c:pt idx="171">
                  <c:v>44237</c:v>
                </c:pt>
                <c:pt idx="172">
                  <c:v>44238</c:v>
                </c:pt>
                <c:pt idx="173">
                  <c:v>44239</c:v>
                </c:pt>
                <c:pt idx="174">
                  <c:v>44243</c:v>
                </c:pt>
                <c:pt idx="175">
                  <c:v>44244</c:v>
                </c:pt>
                <c:pt idx="176">
                  <c:v>44245</c:v>
                </c:pt>
                <c:pt idx="177">
                  <c:v>44246</c:v>
                </c:pt>
                <c:pt idx="178">
                  <c:v>44249</c:v>
                </c:pt>
                <c:pt idx="179">
                  <c:v>44250</c:v>
                </c:pt>
                <c:pt idx="180">
                  <c:v>44251</c:v>
                </c:pt>
                <c:pt idx="181">
                  <c:v>44252</c:v>
                </c:pt>
                <c:pt idx="182">
                  <c:v>44253</c:v>
                </c:pt>
                <c:pt idx="183">
                  <c:v>44256</c:v>
                </c:pt>
                <c:pt idx="184">
                  <c:v>44257</c:v>
                </c:pt>
                <c:pt idx="185">
                  <c:v>44258</c:v>
                </c:pt>
                <c:pt idx="186">
                  <c:v>44259</c:v>
                </c:pt>
                <c:pt idx="187">
                  <c:v>44260</c:v>
                </c:pt>
                <c:pt idx="188">
                  <c:v>44263</c:v>
                </c:pt>
                <c:pt idx="189">
                  <c:v>44264</c:v>
                </c:pt>
                <c:pt idx="190">
                  <c:v>44265</c:v>
                </c:pt>
                <c:pt idx="191">
                  <c:v>44266</c:v>
                </c:pt>
                <c:pt idx="192">
                  <c:v>44267</c:v>
                </c:pt>
                <c:pt idx="193">
                  <c:v>44270</c:v>
                </c:pt>
                <c:pt idx="194">
                  <c:v>44271</c:v>
                </c:pt>
                <c:pt idx="195">
                  <c:v>44272</c:v>
                </c:pt>
                <c:pt idx="196">
                  <c:v>44273</c:v>
                </c:pt>
                <c:pt idx="197">
                  <c:v>44274</c:v>
                </c:pt>
                <c:pt idx="198">
                  <c:v>44277</c:v>
                </c:pt>
                <c:pt idx="199">
                  <c:v>44278</c:v>
                </c:pt>
                <c:pt idx="200">
                  <c:v>44279</c:v>
                </c:pt>
                <c:pt idx="201">
                  <c:v>44280</c:v>
                </c:pt>
                <c:pt idx="202">
                  <c:v>44281</c:v>
                </c:pt>
                <c:pt idx="203">
                  <c:v>44284</c:v>
                </c:pt>
                <c:pt idx="204">
                  <c:v>44285</c:v>
                </c:pt>
                <c:pt idx="205">
                  <c:v>44286</c:v>
                </c:pt>
                <c:pt idx="206">
                  <c:v>44287</c:v>
                </c:pt>
                <c:pt idx="207">
                  <c:v>44291</c:v>
                </c:pt>
                <c:pt idx="208">
                  <c:v>44292</c:v>
                </c:pt>
                <c:pt idx="209">
                  <c:v>44293</c:v>
                </c:pt>
                <c:pt idx="210">
                  <c:v>44294</c:v>
                </c:pt>
                <c:pt idx="211">
                  <c:v>44295</c:v>
                </c:pt>
                <c:pt idx="212">
                  <c:v>44298</c:v>
                </c:pt>
                <c:pt idx="213">
                  <c:v>44299</c:v>
                </c:pt>
                <c:pt idx="214">
                  <c:v>44300</c:v>
                </c:pt>
                <c:pt idx="215">
                  <c:v>44301</c:v>
                </c:pt>
                <c:pt idx="216">
                  <c:v>44302</c:v>
                </c:pt>
                <c:pt idx="217">
                  <c:v>44305</c:v>
                </c:pt>
                <c:pt idx="218">
                  <c:v>44306</c:v>
                </c:pt>
                <c:pt idx="219">
                  <c:v>44307</c:v>
                </c:pt>
                <c:pt idx="220">
                  <c:v>44308</c:v>
                </c:pt>
                <c:pt idx="221">
                  <c:v>44309</c:v>
                </c:pt>
                <c:pt idx="222">
                  <c:v>44312</c:v>
                </c:pt>
                <c:pt idx="223">
                  <c:v>44313</c:v>
                </c:pt>
                <c:pt idx="224">
                  <c:v>44314</c:v>
                </c:pt>
                <c:pt idx="225">
                  <c:v>44315</c:v>
                </c:pt>
                <c:pt idx="226">
                  <c:v>44316</c:v>
                </c:pt>
                <c:pt idx="227">
                  <c:v>44319</c:v>
                </c:pt>
                <c:pt idx="228">
                  <c:v>44320</c:v>
                </c:pt>
                <c:pt idx="229">
                  <c:v>44321</c:v>
                </c:pt>
                <c:pt idx="230">
                  <c:v>44322</c:v>
                </c:pt>
                <c:pt idx="231">
                  <c:v>44323</c:v>
                </c:pt>
                <c:pt idx="232">
                  <c:v>44326</c:v>
                </c:pt>
                <c:pt idx="233">
                  <c:v>44327</c:v>
                </c:pt>
                <c:pt idx="234">
                  <c:v>44328</c:v>
                </c:pt>
                <c:pt idx="235">
                  <c:v>44329</c:v>
                </c:pt>
                <c:pt idx="236">
                  <c:v>44330</c:v>
                </c:pt>
                <c:pt idx="237">
                  <c:v>44333</c:v>
                </c:pt>
                <c:pt idx="238">
                  <c:v>44334</c:v>
                </c:pt>
                <c:pt idx="239">
                  <c:v>44335</c:v>
                </c:pt>
                <c:pt idx="240">
                  <c:v>44336</c:v>
                </c:pt>
                <c:pt idx="241">
                  <c:v>44337</c:v>
                </c:pt>
                <c:pt idx="242">
                  <c:v>44340</c:v>
                </c:pt>
                <c:pt idx="243">
                  <c:v>44341</c:v>
                </c:pt>
                <c:pt idx="244">
                  <c:v>44342</c:v>
                </c:pt>
                <c:pt idx="245">
                  <c:v>44343</c:v>
                </c:pt>
                <c:pt idx="246">
                  <c:v>44344</c:v>
                </c:pt>
                <c:pt idx="247">
                  <c:v>44348</c:v>
                </c:pt>
                <c:pt idx="248">
                  <c:v>44349</c:v>
                </c:pt>
                <c:pt idx="249">
                  <c:v>44350</c:v>
                </c:pt>
                <c:pt idx="250">
                  <c:v>44351</c:v>
                </c:pt>
                <c:pt idx="251">
                  <c:v>44354</c:v>
                </c:pt>
                <c:pt idx="252">
                  <c:v>44355</c:v>
                </c:pt>
                <c:pt idx="253">
                  <c:v>44356</c:v>
                </c:pt>
                <c:pt idx="254">
                  <c:v>44357</c:v>
                </c:pt>
                <c:pt idx="255">
                  <c:v>44358</c:v>
                </c:pt>
                <c:pt idx="256">
                  <c:v>44361</c:v>
                </c:pt>
                <c:pt idx="257">
                  <c:v>44362</c:v>
                </c:pt>
                <c:pt idx="258">
                  <c:v>44363</c:v>
                </c:pt>
                <c:pt idx="259">
                  <c:v>44364</c:v>
                </c:pt>
                <c:pt idx="260">
                  <c:v>44365</c:v>
                </c:pt>
                <c:pt idx="261">
                  <c:v>44368</c:v>
                </c:pt>
                <c:pt idx="262">
                  <c:v>44369</c:v>
                </c:pt>
                <c:pt idx="263">
                  <c:v>44370</c:v>
                </c:pt>
                <c:pt idx="264">
                  <c:v>44371</c:v>
                </c:pt>
                <c:pt idx="265">
                  <c:v>44372</c:v>
                </c:pt>
                <c:pt idx="266">
                  <c:v>44375</c:v>
                </c:pt>
                <c:pt idx="267">
                  <c:v>44376</c:v>
                </c:pt>
                <c:pt idx="268">
                  <c:v>44377</c:v>
                </c:pt>
                <c:pt idx="269">
                  <c:v>44378</c:v>
                </c:pt>
                <c:pt idx="270">
                  <c:v>44379</c:v>
                </c:pt>
                <c:pt idx="271">
                  <c:v>44383</c:v>
                </c:pt>
                <c:pt idx="272">
                  <c:v>44384</c:v>
                </c:pt>
                <c:pt idx="273">
                  <c:v>44385</c:v>
                </c:pt>
                <c:pt idx="274">
                  <c:v>44386</c:v>
                </c:pt>
                <c:pt idx="275">
                  <c:v>44389</c:v>
                </c:pt>
                <c:pt idx="276">
                  <c:v>44390</c:v>
                </c:pt>
                <c:pt idx="277">
                  <c:v>44391</c:v>
                </c:pt>
                <c:pt idx="278">
                  <c:v>44392</c:v>
                </c:pt>
                <c:pt idx="279">
                  <c:v>44393</c:v>
                </c:pt>
                <c:pt idx="280">
                  <c:v>44396</c:v>
                </c:pt>
                <c:pt idx="281">
                  <c:v>44397</c:v>
                </c:pt>
                <c:pt idx="282">
                  <c:v>44398</c:v>
                </c:pt>
                <c:pt idx="283">
                  <c:v>44399</c:v>
                </c:pt>
                <c:pt idx="284">
                  <c:v>44400</c:v>
                </c:pt>
                <c:pt idx="285">
                  <c:v>44403</c:v>
                </c:pt>
                <c:pt idx="286">
                  <c:v>44404</c:v>
                </c:pt>
                <c:pt idx="287">
                  <c:v>44405</c:v>
                </c:pt>
                <c:pt idx="288">
                  <c:v>44406</c:v>
                </c:pt>
                <c:pt idx="289">
                  <c:v>44407</c:v>
                </c:pt>
                <c:pt idx="290">
                  <c:v>44410</c:v>
                </c:pt>
                <c:pt idx="291">
                  <c:v>44411</c:v>
                </c:pt>
                <c:pt idx="292">
                  <c:v>44412</c:v>
                </c:pt>
                <c:pt idx="293">
                  <c:v>44413</c:v>
                </c:pt>
                <c:pt idx="294">
                  <c:v>44414</c:v>
                </c:pt>
                <c:pt idx="295">
                  <c:v>44417</c:v>
                </c:pt>
                <c:pt idx="296">
                  <c:v>44418</c:v>
                </c:pt>
                <c:pt idx="297">
                  <c:v>44419</c:v>
                </c:pt>
                <c:pt idx="298">
                  <c:v>44420</c:v>
                </c:pt>
                <c:pt idx="299">
                  <c:v>44421</c:v>
                </c:pt>
                <c:pt idx="300">
                  <c:v>44424</c:v>
                </c:pt>
                <c:pt idx="301">
                  <c:v>44425</c:v>
                </c:pt>
                <c:pt idx="302">
                  <c:v>44426</c:v>
                </c:pt>
                <c:pt idx="303">
                  <c:v>44427</c:v>
                </c:pt>
                <c:pt idx="304">
                  <c:v>44428</c:v>
                </c:pt>
                <c:pt idx="305">
                  <c:v>44431</c:v>
                </c:pt>
                <c:pt idx="306">
                  <c:v>44432</c:v>
                </c:pt>
                <c:pt idx="307">
                  <c:v>44433</c:v>
                </c:pt>
                <c:pt idx="308">
                  <c:v>44434</c:v>
                </c:pt>
                <c:pt idx="309">
                  <c:v>44435</c:v>
                </c:pt>
                <c:pt idx="310">
                  <c:v>44438</c:v>
                </c:pt>
                <c:pt idx="311">
                  <c:v>44439</c:v>
                </c:pt>
                <c:pt idx="312">
                  <c:v>44440</c:v>
                </c:pt>
                <c:pt idx="313">
                  <c:v>44441</c:v>
                </c:pt>
                <c:pt idx="314">
                  <c:v>44442</c:v>
                </c:pt>
                <c:pt idx="315">
                  <c:v>44446</c:v>
                </c:pt>
                <c:pt idx="316">
                  <c:v>44447</c:v>
                </c:pt>
                <c:pt idx="317">
                  <c:v>44448</c:v>
                </c:pt>
                <c:pt idx="318">
                  <c:v>44449</c:v>
                </c:pt>
                <c:pt idx="319">
                  <c:v>44452</c:v>
                </c:pt>
                <c:pt idx="320">
                  <c:v>44453</c:v>
                </c:pt>
                <c:pt idx="321">
                  <c:v>44454</c:v>
                </c:pt>
                <c:pt idx="322">
                  <c:v>44455</c:v>
                </c:pt>
                <c:pt idx="323">
                  <c:v>44456</c:v>
                </c:pt>
                <c:pt idx="324">
                  <c:v>44459</c:v>
                </c:pt>
                <c:pt idx="325">
                  <c:v>44460</c:v>
                </c:pt>
                <c:pt idx="326">
                  <c:v>44461</c:v>
                </c:pt>
                <c:pt idx="327">
                  <c:v>44462</c:v>
                </c:pt>
                <c:pt idx="328">
                  <c:v>44463</c:v>
                </c:pt>
                <c:pt idx="329">
                  <c:v>44466</c:v>
                </c:pt>
                <c:pt idx="330">
                  <c:v>44467</c:v>
                </c:pt>
                <c:pt idx="331">
                  <c:v>44468</c:v>
                </c:pt>
                <c:pt idx="332">
                  <c:v>44469</c:v>
                </c:pt>
                <c:pt idx="333">
                  <c:v>44470</c:v>
                </c:pt>
                <c:pt idx="334">
                  <c:v>44473</c:v>
                </c:pt>
                <c:pt idx="335">
                  <c:v>44474</c:v>
                </c:pt>
                <c:pt idx="336">
                  <c:v>44475</c:v>
                </c:pt>
                <c:pt idx="337">
                  <c:v>44476</c:v>
                </c:pt>
                <c:pt idx="338">
                  <c:v>44477</c:v>
                </c:pt>
                <c:pt idx="339">
                  <c:v>44480</c:v>
                </c:pt>
                <c:pt idx="340">
                  <c:v>44481</c:v>
                </c:pt>
                <c:pt idx="341">
                  <c:v>44482</c:v>
                </c:pt>
                <c:pt idx="342">
                  <c:v>44483</c:v>
                </c:pt>
                <c:pt idx="343">
                  <c:v>44484</c:v>
                </c:pt>
                <c:pt idx="344">
                  <c:v>44487</c:v>
                </c:pt>
                <c:pt idx="345">
                  <c:v>44488</c:v>
                </c:pt>
                <c:pt idx="346">
                  <c:v>44489</c:v>
                </c:pt>
                <c:pt idx="347">
                  <c:v>44490</c:v>
                </c:pt>
                <c:pt idx="348">
                  <c:v>44491</c:v>
                </c:pt>
                <c:pt idx="349">
                  <c:v>44494</c:v>
                </c:pt>
                <c:pt idx="350">
                  <c:v>44495</c:v>
                </c:pt>
                <c:pt idx="351">
                  <c:v>44496</c:v>
                </c:pt>
                <c:pt idx="352">
                  <c:v>44497</c:v>
                </c:pt>
                <c:pt idx="353">
                  <c:v>44498</c:v>
                </c:pt>
                <c:pt idx="354">
                  <c:v>44501</c:v>
                </c:pt>
                <c:pt idx="355">
                  <c:v>44502</c:v>
                </c:pt>
                <c:pt idx="356">
                  <c:v>44503</c:v>
                </c:pt>
                <c:pt idx="357">
                  <c:v>44504</c:v>
                </c:pt>
                <c:pt idx="358">
                  <c:v>44505</c:v>
                </c:pt>
                <c:pt idx="359">
                  <c:v>44508</c:v>
                </c:pt>
                <c:pt idx="360">
                  <c:v>44509</c:v>
                </c:pt>
                <c:pt idx="361">
                  <c:v>44510</c:v>
                </c:pt>
                <c:pt idx="362">
                  <c:v>44511</c:v>
                </c:pt>
                <c:pt idx="363">
                  <c:v>44512</c:v>
                </c:pt>
                <c:pt idx="364">
                  <c:v>44515</c:v>
                </c:pt>
                <c:pt idx="365">
                  <c:v>44516</c:v>
                </c:pt>
                <c:pt idx="366">
                  <c:v>44517</c:v>
                </c:pt>
                <c:pt idx="367">
                  <c:v>44518</c:v>
                </c:pt>
                <c:pt idx="368">
                  <c:v>44519</c:v>
                </c:pt>
                <c:pt idx="369">
                  <c:v>44522</c:v>
                </c:pt>
                <c:pt idx="370">
                  <c:v>44523</c:v>
                </c:pt>
                <c:pt idx="371">
                  <c:v>44524</c:v>
                </c:pt>
                <c:pt idx="372">
                  <c:v>44526</c:v>
                </c:pt>
                <c:pt idx="373">
                  <c:v>44529</c:v>
                </c:pt>
                <c:pt idx="374">
                  <c:v>44530</c:v>
                </c:pt>
                <c:pt idx="375">
                  <c:v>44531</c:v>
                </c:pt>
                <c:pt idx="376">
                  <c:v>44532</c:v>
                </c:pt>
                <c:pt idx="377">
                  <c:v>44533</c:v>
                </c:pt>
                <c:pt idx="378">
                  <c:v>44536</c:v>
                </c:pt>
                <c:pt idx="379">
                  <c:v>44537</c:v>
                </c:pt>
                <c:pt idx="380">
                  <c:v>44538</c:v>
                </c:pt>
                <c:pt idx="381">
                  <c:v>44539</c:v>
                </c:pt>
                <c:pt idx="382">
                  <c:v>44540</c:v>
                </c:pt>
                <c:pt idx="383">
                  <c:v>44543</c:v>
                </c:pt>
                <c:pt idx="384">
                  <c:v>44544</c:v>
                </c:pt>
                <c:pt idx="385">
                  <c:v>44545</c:v>
                </c:pt>
                <c:pt idx="386">
                  <c:v>44546</c:v>
                </c:pt>
                <c:pt idx="387">
                  <c:v>44547</c:v>
                </c:pt>
                <c:pt idx="388">
                  <c:v>44550</c:v>
                </c:pt>
                <c:pt idx="389">
                  <c:v>44551</c:v>
                </c:pt>
                <c:pt idx="390">
                  <c:v>44552</c:v>
                </c:pt>
                <c:pt idx="391">
                  <c:v>44553</c:v>
                </c:pt>
                <c:pt idx="392">
                  <c:v>44557</c:v>
                </c:pt>
                <c:pt idx="393">
                  <c:v>44558</c:v>
                </c:pt>
                <c:pt idx="394">
                  <c:v>44559</c:v>
                </c:pt>
                <c:pt idx="395">
                  <c:v>44560</c:v>
                </c:pt>
                <c:pt idx="396">
                  <c:v>44561</c:v>
                </c:pt>
                <c:pt idx="397">
                  <c:v>44564</c:v>
                </c:pt>
                <c:pt idx="398">
                  <c:v>44565</c:v>
                </c:pt>
                <c:pt idx="399">
                  <c:v>44566</c:v>
                </c:pt>
                <c:pt idx="400">
                  <c:v>44567</c:v>
                </c:pt>
                <c:pt idx="401">
                  <c:v>44568</c:v>
                </c:pt>
                <c:pt idx="402">
                  <c:v>44571</c:v>
                </c:pt>
                <c:pt idx="403">
                  <c:v>44572</c:v>
                </c:pt>
                <c:pt idx="404">
                  <c:v>44573</c:v>
                </c:pt>
                <c:pt idx="405">
                  <c:v>44574</c:v>
                </c:pt>
                <c:pt idx="406">
                  <c:v>44575</c:v>
                </c:pt>
                <c:pt idx="407">
                  <c:v>44579</c:v>
                </c:pt>
                <c:pt idx="408">
                  <c:v>44580</c:v>
                </c:pt>
                <c:pt idx="409">
                  <c:v>44581</c:v>
                </c:pt>
                <c:pt idx="410">
                  <c:v>44582</c:v>
                </c:pt>
                <c:pt idx="411">
                  <c:v>44585</c:v>
                </c:pt>
                <c:pt idx="412">
                  <c:v>44586</c:v>
                </c:pt>
                <c:pt idx="413">
                  <c:v>44587</c:v>
                </c:pt>
                <c:pt idx="414">
                  <c:v>44588</c:v>
                </c:pt>
                <c:pt idx="415">
                  <c:v>44589</c:v>
                </c:pt>
                <c:pt idx="416">
                  <c:v>44592</c:v>
                </c:pt>
                <c:pt idx="417">
                  <c:v>44593</c:v>
                </c:pt>
                <c:pt idx="418">
                  <c:v>44594</c:v>
                </c:pt>
                <c:pt idx="419">
                  <c:v>44595</c:v>
                </c:pt>
                <c:pt idx="420">
                  <c:v>44596</c:v>
                </c:pt>
                <c:pt idx="421">
                  <c:v>44599</c:v>
                </c:pt>
                <c:pt idx="422">
                  <c:v>44600</c:v>
                </c:pt>
                <c:pt idx="423">
                  <c:v>44601</c:v>
                </c:pt>
                <c:pt idx="424">
                  <c:v>44602</c:v>
                </c:pt>
                <c:pt idx="425">
                  <c:v>44603</c:v>
                </c:pt>
                <c:pt idx="426">
                  <c:v>44606</c:v>
                </c:pt>
                <c:pt idx="427">
                  <c:v>44607</c:v>
                </c:pt>
                <c:pt idx="428">
                  <c:v>44608</c:v>
                </c:pt>
                <c:pt idx="429">
                  <c:v>44609</c:v>
                </c:pt>
                <c:pt idx="430">
                  <c:v>44610</c:v>
                </c:pt>
                <c:pt idx="431">
                  <c:v>44614</c:v>
                </c:pt>
                <c:pt idx="432">
                  <c:v>44615</c:v>
                </c:pt>
                <c:pt idx="433">
                  <c:v>44616</c:v>
                </c:pt>
                <c:pt idx="434">
                  <c:v>44617</c:v>
                </c:pt>
                <c:pt idx="435">
                  <c:v>44620</c:v>
                </c:pt>
                <c:pt idx="436">
                  <c:v>44621</c:v>
                </c:pt>
                <c:pt idx="437">
                  <c:v>44622</c:v>
                </c:pt>
                <c:pt idx="438">
                  <c:v>44623</c:v>
                </c:pt>
                <c:pt idx="439">
                  <c:v>44624</c:v>
                </c:pt>
                <c:pt idx="440">
                  <c:v>44627</c:v>
                </c:pt>
                <c:pt idx="441">
                  <c:v>44628</c:v>
                </c:pt>
                <c:pt idx="442">
                  <c:v>44629</c:v>
                </c:pt>
                <c:pt idx="443">
                  <c:v>44630</c:v>
                </c:pt>
                <c:pt idx="444">
                  <c:v>44631</c:v>
                </c:pt>
                <c:pt idx="445">
                  <c:v>44634</c:v>
                </c:pt>
                <c:pt idx="446">
                  <c:v>44635</c:v>
                </c:pt>
                <c:pt idx="447">
                  <c:v>44636</c:v>
                </c:pt>
                <c:pt idx="448">
                  <c:v>44637</c:v>
                </c:pt>
                <c:pt idx="449">
                  <c:v>44638</c:v>
                </c:pt>
                <c:pt idx="450">
                  <c:v>44641</c:v>
                </c:pt>
                <c:pt idx="451">
                  <c:v>44642</c:v>
                </c:pt>
                <c:pt idx="452">
                  <c:v>44643</c:v>
                </c:pt>
                <c:pt idx="453">
                  <c:v>44644</c:v>
                </c:pt>
                <c:pt idx="454">
                  <c:v>44645</c:v>
                </c:pt>
                <c:pt idx="455">
                  <c:v>44648</c:v>
                </c:pt>
                <c:pt idx="456">
                  <c:v>44649</c:v>
                </c:pt>
                <c:pt idx="457">
                  <c:v>44650</c:v>
                </c:pt>
                <c:pt idx="458">
                  <c:v>44651</c:v>
                </c:pt>
                <c:pt idx="459">
                  <c:v>44652</c:v>
                </c:pt>
                <c:pt idx="460">
                  <c:v>44655</c:v>
                </c:pt>
                <c:pt idx="461">
                  <c:v>44656</c:v>
                </c:pt>
                <c:pt idx="462">
                  <c:v>44657</c:v>
                </c:pt>
                <c:pt idx="463">
                  <c:v>44658</c:v>
                </c:pt>
                <c:pt idx="464">
                  <c:v>44659</c:v>
                </c:pt>
                <c:pt idx="465">
                  <c:v>44662</c:v>
                </c:pt>
                <c:pt idx="466">
                  <c:v>44663</c:v>
                </c:pt>
                <c:pt idx="467">
                  <c:v>44664</c:v>
                </c:pt>
                <c:pt idx="468">
                  <c:v>44665</c:v>
                </c:pt>
                <c:pt idx="469">
                  <c:v>44669</c:v>
                </c:pt>
                <c:pt idx="470">
                  <c:v>44670</c:v>
                </c:pt>
                <c:pt idx="471">
                  <c:v>44671</c:v>
                </c:pt>
                <c:pt idx="472">
                  <c:v>44672</c:v>
                </c:pt>
                <c:pt idx="473">
                  <c:v>44673</c:v>
                </c:pt>
                <c:pt idx="474">
                  <c:v>44676</c:v>
                </c:pt>
                <c:pt idx="475">
                  <c:v>44677</c:v>
                </c:pt>
                <c:pt idx="476">
                  <c:v>44678</c:v>
                </c:pt>
                <c:pt idx="477">
                  <c:v>44679</c:v>
                </c:pt>
                <c:pt idx="478">
                  <c:v>44680</c:v>
                </c:pt>
                <c:pt idx="479">
                  <c:v>44683</c:v>
                </c:pt>
                <c:pt idx="480">
                  <c:v>44684</c:v>
                </c:pt>
                <c:pt idx="481">
                  <c:v>44685</c:v>
                </c:pt>
                <c:pt idx="482">
                  <c:v>44686</c:v>
                </c:pt>
                <c:pt idx="483">
                  <c:v>44687</c:v>
                </c:pt>
                <c:pt idx="484">
                  <c:v>44690</c:v>
                </c:pt>
                <c:pt idx="485">
                  <c:v>44691</c:v>
                </c:pt>
                <c:pt idx="486">
                  <c:v>44692</c:v>
                </c:pt>
                <c:pt idx="487">
                  <c:v>44693</c:v>
                </c:pt>
                <c:pt idx="488">
                  <c:v>44694</c:v>
                </c:pt>
                <c:pt idx="489">
                  <c:v>44697</c:v>
                </c:pt>
                <c:pt idx="490">
                  <c:v>44698</c:v>
                </c:pt>
                <c:pt idx="491">
                  <c:v>44699</c:v>
                </c:pt>
                <c:pt idx="492">
                  <c:v>44700</c:v>
                </c:pt>
                <c:pt idx="493">
                  <c:v>44701</c:v>
                </c:pt>
                <c:pt idx="494">
                  <c:v>44704</c:v>
                </c:pt>
                <c:pt idx="495">
                  <c:v>44705</c:v>
                </c:pt>
                <c:pt idx="496">
                  <c:v>44706</c:v>
                </c:pt>
                <c:pt idx="497">
                  <c:v>44707</c:v>
                </c:pt>
                <c:pt idx="498">
                  <c:v>44708</c:v>
                </c:pt>
                <c:pt idx="499">
                  <c:v>44712</c:v>
                </c:pt>
                <c:pt idx="500">
                  <c:v>44713</c:v>
                </c:pt>
                <c:pt idx="501">
                  <c:v>44714</c:v>
                </c:pt>
                <c:pt idx="502">
                  <c:v>44715</c:v>
                </c:pt>
                <c:pt idx="503">
                  <c:v>44718</c:v>
                </c:pt>
                <c:pt idx="504">
                  <c:v>44719</c:v>
                </c:pt>
                <c:pt idx="505">
                  <c:v>44720</c:v>
                </c:pt>
                <c:pt idx="506">
                  <c:v>44721</c:v>
                </c:pt>
                <c:pt idx="507">
                  <c:v>44722</c:v>
                </c:pt>
                <c:pt idx="508">
                  <c:v>44725</c:v>
                </c:pt>
                <c:pt idx="509">
                  <c:v>44726</c:v>
                </c:pt>
                <c:pt idx="510">
                  <c:v>44727</c:v>
                </c:pt>
                <c:pt idx="511">
                  <c:v>44728</c:v>
                </c:pt>
                <c:pt idx="512">
                  <c:v>44729</c:v>
                </c:pt>
                <c:pt idx="513">
                  <c:v>44733</c:v>
                </c:pt>
                <c:pt idx="514">
                  <c:v>44734</c:v>
                </c:pt>
                <c:pt idx="515">
                  <c:v>44735</c:v>
                </c:pt>
                <c:pt idx="516">
                  <c:v>44736</c:v>
                </c:pt>
                <c:pt idx="517">
                  <c:v>44739</c:v>
                </c:pt>
                <c:pt idx="518">
                  <c:v>44740</c:v>
                </c:pt>
                <c:pt idx="519">
                  <c:v>44741</c:v>
                </c:pt>
                <c:pt idx="520">
                  <c:v>44742</c:v>
                </c:pt>
                <c:pt idx="521">
                  <c:v>44743</c:v>
                </c:pt>
                <c:pt idx="522">
                  <c:v>44747</c:v>
                </c:pt>
                <c:pt idx="523">
                  <c:v>44748</c:v>
                </c:pt>
                <c:pt idx="524">
                  <c:v>44749</c:v>
                </c:pt>
                <c:pt idx="525">
                  <c:v>44750</c:v>
                </c:pt>
                <c:pt idx="526">
                  <c:v>44753</c:v>
                </c:pt>
                <c:pt idx="527">
                  <c:v>44754</c:v>
                </c:pt>
                <c:pt idx="528">
                  <c:v>44755</c:v>
                </c:pt>
                <c:pt idx="529">
                  <c:v>44756</c:v>
                </c:pt>
                <c:pt idx="530">
                  <c:v>44757</c:v>
                </c:pt>
                <c:pt idx="531">
                  <c:v>44760</c:v>
                </c:pt>
                <c:pt idx="532">
                  <c:v>44761</c:v>
                </c:pt>
                <c:pt idx="533">
                  <c:v>44762</c:v>
                </c:pt>
                <c:pt idx="534">
                  <c:v>44763</c:v>
                </c:pt>
                <c:pt idx="535">
                  <c:v>44764</c:v>
                </c:pt>
                <c:pt idx="536">
                  <c:v>44767</c:v>
                </c:pt>
                <c:pt idx="537">
                  <c:v>44768</c:v>
                </c:pt>
                <c:pt idx="538">
                  <c:v>44769</c:v>
                </c:pt>
                <c:pt idx="539">
                  <c:v>44770</c:v>
                </c:pt>
                <c:pt idx="540">
                  <c:v>44771</c:v>
                </c:pt>
                <c:pt idx="541">
                  <c:v>44774</c:v>
                </c:pt>
                <c:pt idx="542">
                  <c:v>44775</c:v>
                </c:pt>
                <c:pt idx="543">
                  <c:v>44776</c:v>
                </c:pt>
                <c:pt idx="544">
                  <c:v>44777</c:v>
                </c:pt>
                <c:pt idx="545">
                  <c:v>44778</c:v>
                </c:pt>
                <c:pt idx="546">
                  <c:v>44781</c:v>
                </c:pt>
                <c:pt idx="547">
                  <c:v>44782</c:v>
                </c:pt>
                <c:pt idx="548">
                  <c:v>44783</c:v>
                </c:pt>
                <c:pt idx="549">
                  <c:v>44784</c:v>
                </c:pt>
                <c:pt idx="550">
                  <c:v>44785</c:v>
                </c:pt>
                <c:pt idx="551">
                  <c:v>44788</c:v>
                </c:pt>
                <c:pt idx="552">
                  <c:v>44789</c:v>
                </c:pt>
                <c:pt idx="553">
                  <c:v>44790</c:v>
                </c:pt>
                <c:pt idx="554">
                  <c:v>44791</c:v>
                </c:pt>
                <c:pt idx="555">
                  <c:v>44792</c:v>
                </c:pt>
                <c:pt idx="556">
                  <c:v>44795</c:v>
                </c:pt>
                <c:pt idx="557">
                  <c:v>44796</c:v>
                </c:pt>
                <c:pt idx="558">
                  <c:v>44797</c:v>
                </c:pt>
                <c:pt idx="559">
                  <c:v>44798</c:v>
                </c:pt>
                <c:pt idx="560">
                  <c:v>44799</c:v>
                </c:pt>
                <c:pt idx="561">
                  <c:v>44802</c:v>
                </c:pt>
                <c:pt idx="562">
                  <c:v>44803</c:v>
                </c:pt>
                <c:pt idx="563">
                  <c:v>44804</c:v>
                </c:pt>
                <c:pt idx="564">
                  <c:v>44805</c:v>
                </c:pt>
                <c:pt idx="565">
                  <c:v>44806</c:v>
                </c:pt>
                <c:pt idx="566">
                  <c:v>44810</c:v>
                </c:pt>
                <c:pt idx="567">
                  <c:v>44811</c:v>
                </c:pt>
                <c:pt idx="568">
                  <c:v>44812</c:v>
                </c:pt>
                <c:pt idx="569">
                  <c:v>44813</c:v>
                </c:pt>
                <c:pt idx="570">
                  <c:v>44816</c:v>
                </c:pt>
                <c:pt idx="571">
                  <c:v>44817</c:v>
                </c:pt>
                <c:pt idx="572">
                  <c:v>44818</c:v>
                </c:pt>
                <c:pt idx="573">
                  <c:v>44819</c:v>
                </c:pt>
                <c:pt idx="574">
                  <c:v>44820</c:v>
                </c:pt>
                <c:pt idx="575">
                  <c:v>44823</c:v>
                </c:pt>
                <c:pt idx="576">
                  <c:v>44824</c:v>
                </c:pt>
                <c:pt idx="577">
                  <c:v>44825</c:v>
                </c:pt>
                <c:pt idx="578">
                  <c:v>44826</c:v>
                </c:pt>
                <c:pt idx="579">
                  <c:v>44827</c:v>
                </c:pt>
                <c:pt idx="580">
                  <c:v>44830</c:v>
                </c:pt>
                <c:pt idx="581">
                  <c:v>44831</c:v>
                </c:pt>
                <c:pt idx="582">
                  <c:v>44832</c:v>
                </c:pt>
                <c:pt idx="583">
                  <c:v>44833</c:v>
                </c:pt>
                <c:pt idx="584">
                  <c:v>44834</c:v>
                </c:pt>
                <c:pt idx="585">
                  <c:v>44837</c:v>
                </c:pt>
                <c:pt idx="586">
                  <c:v>44838</c:v>
                </c:pt>
                <c:pt idx="587">
                  <c:v>44839</c:v>
                </c:pt>
                <c:pt idx="588">
                  <c:v>44840</c:v>
                </c:pt>
                <c:pt idx="589">
                  <c:v>44841</c:v>
                </c:pt>
                <c:pt idx="590">
                  <c:v>44844</c:v>
                </c:pt>
                <c:pt idx="591">
                  <c:v>44845</c:v>
                </c:pt>
                <c:pt idx="592">
                  <c:v>44846</c:v>
                </c:pt>
                <c:pt idx="593">
                  <c:v>44847</c:v>
                </c:pt>
                <c:pt idx="594">
                  <c:v>44848</c:v>
                </c:pt>
                <c:pt idx="595">
                  <c:v>44851</c:v>
                </c:pt>
                <c:pt idx="596">
                  <c:v>44852</c:v>
                </c:pt>
                <c:pt idx="597">
                  <c:v>44853</c:v>
                </c:pt>
                <c:pt idx="598">
                  <c:v>44854</c:v>
                </c:pt>
                <c:pt idx="599">
                  <c:v>44855</c:v>
                </c:pt>
                <c:pt idx="600">
                  <c:v>44858</c:v>
                </c:pt>
                <c:pt idx="601">
                  <c:v>44859</c:v>
                </c:pt>
                <c:pt idx="602">
                  <c:v>44860</c:v>
                </c:pt>
                <c:pt idx="603">
                  <c:v>44861</c:v>
                </c:pt>
                <c:pt idx="604">
                  <c:v>44862</c:v>
                </c:pt>
                <c:pt idx="605">
                  <c:v>44865</c:v>
                </c:pt>
                <c:pt idx="606">
                  <c:v>44866</c:v>
                </c:pt>
                <c:pt idx="607">
                  <c:v>44867</c:v>
                </c:pt>
                <c:pt idx="608">
                  <c:v>44868</c:v>
                </c:pt>
                <c:pt idx="609">
                  <c:v>44869</c:v>
                </c:pt>
                <c:pt idx="610">
                  <c:v>44872</c:v>
                </c:pt>
                <c:pt idx="611">
                  <c:v>44873</c:v>
                </c:pt>
                <c:pt idx="612">
                  <c:v>44874</c:v>
                </c:pt>
                <c:pt idx="613">
                  <c:v>44875</c:v>
                </c:pt>
                <c:pt idx="614">
                  <c:v>44876</c:v>
                </c:pt>
                <c:pt idx="615">
                  <c:v>44879</c:v>
                </c:pt>
                <c:pt idx="616">
                  <c:v>44880</c:v>
                </c:pt>
                <c:pt idx="617">
                  <c:v>44881</c:v>
                </c:pt>
                <c:pt idx="618">
                  <c:v>44882</c:v>
                </c:pt>
                <c:pt idx="619">
                  <c:v>44883</c:v>
                </c:pt>
                <c:pt idx="620">
                  <c:v>44886</c:v>
                </c:pt>
                <c:pt idx="621">
                  <c:v>44887</c:v>
                </c:pt>
                <c:pt idx="622">
                  <c:v>44888</c:v>
                </c:pt>
                <c:pt idx="623">
                  <c:v>44890</c:v>
                </c:pt>
                <c:pt idx="624">
                  <c:v>44893</c:v>
                </c:pt>
                <c:pt idx="625">
                  <c:v>44894</c:v>
                </c:pt>
                <c:pt idx="626">
                  <c:v>44895</c:v>
                </c:pt>
                <c:pt idx="627">
                  <c:v>44896</c:v>
                </c:pt>
                <c:pt idx="628">
                  <c:v>44897</c:v>
                </c:pt>
                <c:pt idx="629">
                  <c:v>44900</c:v>
                </c:pt>
                <c:pt idx="630">
                  <c:v>44901</c:v>
                </c:pt>
                <c:pt idx="631">
                  <c:v>44902</c:v>
                </c:pt>
                <c:pt idx="632">
                  <c:v>44903</c:v>
                </c:pt>
                <c:pt idx="633">
                  <c:v>44904</c:v>
                </c:pt>
                <c:pt idx="634">
                  <c:v>44907</c:v>
                </c:pt>
                <c:pt idx="635">
                  <c:v>44908</c:v>
                </c:pt>
                <c:pt idx="636">
                  <c:v>44909</c:v>
                </c:pt>
                <c:pt idx="637">
                  <c:v>44910</c:v>
                </c:pt>
                <c:pt idx="638">
                  <c:v>44911</c:v>
                </c:pt>
                <c:pt idx="639">
                  <c:v>44914</c:v>
                </c:pt>
                <c:pt idx="640">
                  <c:v>44915</c:v>
                </c:pt>
                <c:pt idx="641">
                  <c:v>44916</c:v>
                </c:pt>
                <c:pt idx="642">
                  <c:v>44917</c:v>
                </c:pt>
                <c:pt idx="643">
                  <c:v>44918</c:v>
                </c:pt>
                <c:pt idx="644">
                  <c:v>44922</c:v>
                </c:pt>
                <c:pt idx="645">
                  <c:v>44923</c:v>
                </c:pt>
                <c:pt idx="646">
                  <c:v>44924</c:v>
                </c:pt>
                <c:pt idx="647">
                  <c:v>44925</c:v>
                </c:pt>
                <c:pt idx="648">
                  <c:v>44929</c:v>
                </c:pt>
                <c:pt idx="649">
                  <c:v>44930</c:v>
                </c:pt>
                <c:pt idx="650">
                  <c:v>44931</c:v>
                </c:pt>
                <c:pt idx="651">
                  <c:v>44932</c:v>
                </c:pt>
                <c:pt idx="652">
                  <c:v>44935</c:v>
                </c:pt>
                <c:pt idx="653">
                  <c:v>44936</c:v>
                </c:pt>
                <c:pt idx="654">
                  <c:v>44937</c:v>
                </c:pt>
                <c:pt idx="655">
                  <c:v>44938</c:v>
                </c:pt>
                <c:pt idx="656">
                  <c:v>44939</c:v>
                </c:pt>
                <c:pt idx="657">
                  <c:v>44943</c:v>
                </c:pt>
                <c:pt idx="658">
                  <c:v>44944</c:v>
                </c:pt>
                <c:pt idx="659">
                  <c:v>44945</c:v>
                </c:pt>
                <c:pt idx="660">
                  <c:v>44946</c:v>
                </c:pt>
                <c:pt idx="661">
                  <c:v>44949</c:v>
                </c:pt>
                <c:pt idx="662">
                  <c:v>44950</c:v>
                </c:pt>
                <c:pt idx="663">
                  <c:v>44951</c:v>
                </c:pt>
                <c:pt idx="664">
                  <c:v>44952</c:v>
                </c:pt>
                <c:pt idx="665">
                  <c:v>44953</c:v>
                </c:pt>
                <c:pt idx="666">
                  <c:v>44956</c:v>
                </c:pt>
                <c:pt idx="667">
                  <c:v>44957</c:v>
                </c:pt>
                <c:pt idx="668">
                  <c:v>44958</c:v>
                </c:pt>
                <c:pt idx="669">
                  <c:v>44959</c:v>
                </c:pt>
                <c:pt idx="670">
                  <c:v>44960</c:v>
                </c:pt>
                <c:pt idx="671">
                  <c:v>44963</c:v>
                </c:pt>
                <c:pt idx="672">
                  <c:v>44964</c:v>
                </c:pt>
                <c:pt idx="673">
                  <c:v>44965</c:v>
                </c:pt>
                <c:pt idx="674">
                  <c:v>44966</c:v>
                </c:pt>
                <c:pt idx="675">
                  <c:v>44967</c:v>
                </c:pt>
                <c:pt idx="676">
                  <c:v>44970</c:v>
                </c:pt>
                <c:pt idx="677">
                  <c:v>44971</c:v>
                </c:pt>
                <c:pt idx="678">
                  <c:v>44972</c:v>
                </c:pt>
                <c:pt idx="679">
                  <c:v>44973</c:v>
                </c:pt>
                <c:pt idx="680">
                  <c:v>44974</c:v>
                </c:pt>
                <c:pt idx="681">
                  <c:v>44978</c:v>
                </c:pt>
                <c:pt idx="682">
                  <c:v>44979</c:v>
                </c:pt>
                <c:pt idx="683">
                  <c:v>44980</c:v>
                </c:pt>
                <c:pt idx="684">
                  <c:v>44981</c:v>
                </c:pt>
                <c:pt idx="685">
                  <c:v>44984</c:v>
                </c:pt>
                <c:pt idx="686">
                  <c:v>44985</c:v>
                </c:pt>
                <c:pt idx="687">
                  <c:v>44986</c:v>
                </c:pt>
                <c:pt idx="688">
                  <c:v>44987</c:v>
                </c:pt>
                <c:pt idx="689">
                  <c:v>44988</c:v>
                </c:pt>
                <c:pt idx="690">
                  <c:v>44991</c:v>
                </c:pt>
                <c:pt idx="691">
                  <c:v>44992</c:v>
                </c:pt>
                <c:pt idx="692">
                  <c:v>44993</c:v>
                </c:pt>
                <c:pt idx="693">
                  <c:v>44994</c:v>
                </c:pt>
                <c:pt idx="694">
                  <c:v>44995</c:v>
                </c:pt>
                <c:pt idx="695">
                  <c:v>44998</c:v>
                </c:pt>
                <c:pt idx="696">
                  <c:v>44999</c:v>
                </c:pt>
                <c:pt idx="697">
                  <c:v>45000</c:v>
                </c:pt>
                <c:pt idx="698">
                  <c:v>45001</c:v>
                </c:pt>
                <c:pt idx="699">
                  <c:v>45002</c:v>
                </c:pt>
                <c:pt idx="700">
                  <c:v>45005</c:v>
                </c:pt>
                <c:pt idx="701">
                  <c:v>45006</c:v>
                </c:pt>
                <c:pt idx="702">
                  <c:v>45007</c:v>
                </c:pt>
                <c:pt idx="703">
                  <c:v>45008</c:v>
                </c:pt>
                <c:pt idx="704">
                  <c:v>45009</c:v>
                </c:pt>
                <c:pt idx="705">
                  <c:v>45012</c:v>
                </c:pt>
                <c:pt idx="706">
                  <c:v>45013</c:v>
                </c:pt>
                <c:pt idx="707">
                  <c:v>45014</c:v>
                </c:pt>
                <c:pt idx="708">
                  <c:v>45015</c:v>
                </c:pt>
                <c:pt idx="709">
                  <c:v>45016</c:v>
                </c:pt>
                <c:pt idx="710">
                  <c:v>45019</c:v>
                </c:pt>
                <c:pt idx="711">
                  <c:v>45020</c:v>
                </c:pt>
                <c:pt idx="712">
                  <c:v>45021</c:v>
                </c:pt>
                <c:pt idx="713">
                  <c:v>45022</c:v>
                </c:pt>
                <c:pt idx="714">
                  <c:v>45026</c:v>
                </c:pt>
                <c:pt idx="715">
                  <c:v>45027</c:v>
                </c:pt>
                <c:pt idx="716">
                  <c:v>45028</c:v>
                </c:pt>
                <c:pt idx="717">
                  <c:v>45029</c:v>
                </c:pt>
                <c:pt idx="718">
                  <c:v>45030</c:v>
                </c:pt>
                <c:pt idx="719">
                  <c:v>45033</c:v>
                </c:pt>
                <c:pt idx="720">
                  <c:v>45034</c:v>
                </c:pt>
                <c:pt idx="721">
                  <c:v>45035</c:v>
                </c:pt>
                <c:pt idx="722">
                  <c:v>45036</c:v>
                </c:pt>
                <c:pt idx="723">
                  <c:v>45037</c:v>
                </c:pt>
                <c:pt idx="724">
                  <c:v>45040</c:v>
                </c:pt>
                <c:pt idx="725">
                  <c:v>45041</c:v>
                </c:pt>
                <c:pt idx="726">
                  <c:v>45042</c:v>
                </c:pt>
                <c:pt idx="727">
                  <c:v>45043</c:v>
                </c:pt>
                <c:pt idx="728">
                  <c:v>45044</c:v>
                </c:pt>
                <c:pt idx="729">
                  <c:v>45047</c:v>
                </c:pt>
                <c:pt idx="730">
                  <c:v>45048</c:v>
                </c:pt>
                <c:pt idx="731">
                  <c:v>45049</c:v>
                </c:pt>
                <c:pt idx="732">
                  <c:v>45050</c:v>
                </c:pt>
                <c:pt idx="733">
                  <c:v>45051</c:v>
                </c:pt>
                <c:pt idx="734">
                  <c:v>45054</c:v>
                </c:pt>
                <c:pt idx="735">
                  <c:v>45055</c:v>
                </c:pt>
                <c:pt idx="736">
                  <c:v>45056</c:v>
                </c:pt>
                <c:pt idx="737">
                  <c:v>45057</c:v>
                </c:pt>
                <c:pt idx="738">
                  <c:v>45058</c:v>
                </c:pt>
                <c:pt idx="739">
                  <c:v>45061</c:v>
                </c:pt>
                <c:pt idx="740">
                  <c:v>45062</c:v>
                </c:pt>
                <c:pt idx="741">
                  <c:v>45063</c:v>
                </c:pt>
                <c:pt idx="742">
                  <c:v>45064</c:v>
                </c:pt>
                <c:pt idx="743">
                  <c:v>45065</c:v>
                </c:pt>
                <c:pt idx="744">
                  <c:v>45068</c:v>
                </c:pt>
                <c:pt idx="745">
                  <c:v>45069</c:v>
                </c:pt>
                <c:pt idx="746">
                  <c:v>45070</c:v>
                </c:pt>
                <c:pt idx="747">
                  <c:v>45071</c:v>
                </c:pt>
                <c:pt idx="748">
                  <c:v>45072</c:v>
                </c:pt>
                <c:pt idx="749">
                  <c:v>45076</c:v>
                </c:pt>
                <c:pt idx="750">
                  <c:v>45077</c:v>
                </c:pt>
                <c:pt idx="751">
                  <c:v>45078</c:v>
                </c:pt>
                <c:pt idx="752">
                  <c:v>45079</c:v>
                </c:pt>
                <c:pt idx="753">
                  <c:v>45082</c:v>
                </c:pt>
                <c:pt idx="754">
                  <c:v>45083</c:v>
                </c:pt>
                <c:pt idx="755">
                  <c:v>45084</c:v>
                </c:pt>
                <c:pt idx="756">
                  <c:v>45085</c:v>
                </c:pt>
                <c:pt idx="757">
                  <c:v>45086</c:v>
                </c:pt>
                <c:pt idx="758">
                  <c:v>45089</c:v>
                </c:pt>
                <c:pt idx="759">
                  <c:v>45090</c:v>
                </c:pt>
                <c:pt idx="760">
                  <c:v>45091</c:v>
                </c:pt>
                <c:pt idx="761">
                  <c:v>45092</c:v>
                </c:pt>
                <c:pt idx="762">
                  <c:v>45093</c:v>
                </c:pt>
                <c:pt idx="763">
                  <c:v>45097</c:v>
                </c:pt>
                <c:pt idx="764">
                  <c:v>45098</c:v>
                </c:pt>
                <c:pt idx="765">
                  <c:v>45099</c:v>
                </c:pt>
                <c:pt idx="766">
                  <c:v>45100</c:v>
                </c:pt>
                <c:pt idx="767">
                  <c:v>45103</c:v>
                </c:pt>
                <c:pt idx="768">
                  <c:v>45104</c:v>
                </c:pt>
                <c:pt idx="769">
                  <c:v>45105</c:v>
                </c:pt>
                <c:pt idx="770">
                  <c:v>45106</c:v>
                </c:pt>
                <c:pt idx="771">
                  <c:v>45107</c:v>
                </c:pt>
                <c:pt idx="772">
                  <c:v>45110</c:v>
                </c:pt>
                <c:pt idx="773">
                  <c:v>45112</c:v>
                </c:pt>
                <c:pt idx="774">
                  <c:v>45113</c:v>
                </c:pt>
                <c:pt idx="775">
                  <c:v>45114</c:v>
                </c:pt>
                <c:pt idx="776">
                  <c:v>45117</c:v>
                </c:pt>
                <c:pt idx="777">
                  <c:v>45118</c:v>
                </c:pt>
                <c:pt idx="778">
                  <c:v>45119</c:v>
                </c:pt>
                <c:pt idx="779">
                  <c:v>45120</c:v>
                </c:pt>
                <c:pt idx="780">
                  <c:v>45121</c:v>
                </c:pt>
                <c:pt idx="781">
                  <c:v>45124</c:v>
                </c:pt>
                <c:pt idx="782">
                  <c:v>45125</c:v>
                </c:pt>
                <c:pt idx="783">
                  <c:v>45126</c:v>
                </c:pt>
                <c:pt idx="784">
                  <c:v>45127</c:v>
                </c:pt>
                <c:pt idx="785">
                  <c:v>45128</c:v>
                </c:pt>
                <c:pt idx="786">
                  <c:v>45131</c:v>
                </c:pt>
                <c:pt idx="787">
                  <c:v>45132</c:v>
                </c:pt>
                <c:pt idx="788">
                  <c:v>45133</c:v>
                </c:pt>
                <c:pt idx="789">
                  <c:v>45134</c:v>
                </c:pt>
                <c:pt idx="790">
                  <c:v>45135</c:v>
                </c:pt>
                <c:pt idx="791">
                  <c:v>45138</c:v>
                </c:pt>
                <c:pt idx="792">
                  <c:v>45139</c:v>
                </c:pt>
                <c:pt idx="793">
                  <c:v>45140</c:v>
                </c:pt>
                <c:pt idx="794">
                  <c:v>45141</c:v>
                </c:pt>
                <c:pt idx="795">
                  <c:v>45142</c:v>
                </c:pt>
                <c:pt idx="796">
                  <c:v>45145</c:v>
                </c:pt>
                <c:pt idx="797">
                  <c:v>45146</c:v>
                </c:pt>
                <c:pt idx="798">
                  <c:v>45147</c:v>
                </c:pt>
                <c:pt idx="799">
                  <c:v>45148</c:v>
                </c:pt>
                <c:pt idx="800">
                  <c:v>45149</c:v>
                </c:pt>
                <c:pt idx="801">
                  <c:v>45152</c:v>
                </c:pt>
                <c:pt idx="802">
                  <c:v>45153</c:v>
                </c:pt>
                <c:pt idx="803">
                  <c:v>45154</c:v>
                </c:pt>
                <c:pt idx="804">
                  <c:v>45155</c:v>
                </c:pt>
                <c:pt idx="805">
                  <c:v>45156</c:v>
                </c:pt>
                <c:pt idx="806">
                  <c:v>45159</c:v>
                </c:pt>
                <c:pt idx="807">
                  <c:v>45160</c:v>
                </c:pt>
                <c:pt idx="808">
                  <c:v>45161</c:v>
                </c:pt>
                <c:pt idx="809">
                  <c:v>45162</c:v>
                </c:pt>
                <c:pt idx="810">
                  <c:v>45163</c:v>
                </c:pt>
                <c:pt idx="811">
                  <c:v>45166</c:v>
                </c:pt>
                <c:pt idx="812">
                  <c:v>45167</c:v>
                </c:pt>
                <c:pt idx="813">
                  <c:v>45168</c:v>
                </c:pt>
                <c:pt idx="814">
                  <c:v>45169</c:v>
                </c:pt>
                <c:pt idx="815">
                  <c:v>45170</c:v>
                </c:pt>
                <c:pt idx="816">
                  <c:v>45174</c:v>
                </c:pt>
                <c:pt idx="817">
                  <c:v>45175</c:v>
                </c:pt>
                <c:pt idx="818">
                  <c:v>45176</c:v>
                </c:pt>
                <c:pt idx="819">
                  <c:v>45177</c:v>
                </c:pt>
                <c:pt idx="820">
                  <c:v>45180</c:v>
                </c:pt>
                <c:pt idx="821">
                  <c:v>45181</c:v>
                </c:pt>
                <c:pt idx="822">
                  <c:v>45182</c:v>
                </c:pt>
                <c:pt idx="823">
                  <c:v>45183</c:v>
                </c:pt>
                <c:pt idx="824">
                  <c:v>45184</c:v>
                </c:pt>
                <c:pt idx="825">
                  <c:v>45187</c:v>
                </c:pt>
                <c:pt idx="826">
                  <c:v>45188</c:v>
                </c:pt>
                <c:pt idx="827">
                  <c:v>45189</c:v>
                </c:pt>
                <c:pt idx="828">
                  <c:v>45190</c:v>
                </c:pt>
                <c:pt idx="829">
                  <c:v>45191</c:v>
                </c:pt>
                <c:pt idx="830">
                  <c:v>45194</c:v>
                </c:pt>
                <c:pt idx="831">
                  <c:v>45195</c:v>
                </c:pt>
                <c:pt idx="832">
                  <c:v>45196</c:v>
                </c:pt>
                <c:pt idx="833">
                  <c:v>45197</c:v>
                </c:pt>
                <c:pt idx="834">
                  <c:v>45198</c:v>
                </c:pt>
                <c:pt idx="835">
                  <c:v>45201</c:v>
                </c:pt>
                <c:pt idx="836">
                  <c:v>45202</c:v>
                </c:pt>
                <c:pt idx="837">
                  <c:v>45203</c:v>
                </c:pt>
                <c:pt idx="838">
                  <c:v>45204</c:v>
                </c:pt>
                <c:pt idx="839">
                  <c:v>45205</c:v>
                </c:pt>
                <c:pt idx="840">
                  <c:v>45208</c:v>
                </c:pt>
                <c:pt idx="841">
                  <c:v>45209</c:v>
                </c:pt>
                <c:pt idx="842">
                  <c:v>45210</c:v>
                </c:pt>
                <c:pt idx="843">
                  <c:v>45211</c:v>
                </c:pt>
                <c:pt idx="844">
                  <c:v>45212</c:v>
                </c:pt>
                <c:pt idx="845">
                  <c:v>45215</c:v>
                </c:pt>
                <c:pt idx="846">
                  <c:v>45216</c:v>
                </c:pt>
                <c:pt idx="847">
                  <c:v>45217</c:v>
                </c:pt>
                <c:pt idx="848">
                  <c:v>45218</c:v>
                </c:pt>
                <c:pt idx="849">
                  <c:v>45219</c:v>
                </c:pt>
                <c:pt idx="850">
                  <c:v>45222</c:v>
                </c:pt>
                <c:pt idx="851">
                  <c:v>45223</c:v>
                </c:pt>
                <c:pt idx="852">
                  <c:v>45224</c:v>
                </c:pt>
                <c:pt idx="853">
                  <c:v>45225</c:v>
                </c:pt>
                <c:pt idx="854">
                  <c:v>45226</c:v>
                </c:pt>
                <c:pt idx="855">
                  <c:v>45229</c:v>
                </c:pt>
                <c:pt idx="856">
                  <c:v>45230</c:v>
                </c:pt>
                <c:pt idx="857">
                  <c:v>45231</c:v>
                </c:pt>
                <c:pt idx="858">
                  <c:v>45232</c:v>
                </c:pt>
                <c:pt idx="859">
                  <c:v>45233</c:v>
                </c:pt>
                <c:pt idx="860">
                  <c:v>45236</c:v>
                </c:pt>
                <c:pt idx="861">
                  <c:v>45237</c:v>
                </c:pt>
                <c:pt idx="862">
                  <c:v>45238</c:v>
                </c:pt>
                <c:pt idx="863">
                  <c:v>45239</c:v>
                </c:pt>
                <c:pt idx="864">
                  <c:v>45240</c:v>
                </c:pt>
                <c:pt idx="865">
                  <c:v>45243</c:v>
                </c:pt>
                <c:pt idx="866">
                  <c:v>45244</c:v>
                </c:pt>
                <c:pt idx="867">
                  <c:v>45245</c:v>
                </c:pt>
                <c:pt idx="868">
                  <c:v>45246</c:v>
                </c:pt>
                <c:pt idx="869">
                  <c:v>45247</c:v>
                </c:pt>
                <c:pt idx="870">
                  <c:v>45250</c:v>
                </c:pt>
                <c:pt idx="871">
                  <c:v>45251</c:v>
                </c:pt>
                <c:pt idx="872">
                  <c:v>45252</c:v>
                </c:pt>
                <c:pt idx="873">
                  <c:v>45254</c:v>
                </c:pt>
                <c:pt idx="874">
                  <c:v>45257</c:v>
                </c:pt>
                <c:pt idx="875">
                  <c:v>45258</c:v>
                </c:pt>
                <c:pt idx="876">
                  <c:v>45259</c:v>
                </c:pt>
                <c:pt idx="877">
                  <c:v>45260</c:v>
                </c:pt>
                <c:pt idx="878">
                  <c:v>45261</c:v>
                </c:pt>
                <c:pt idx="879">
                  <c:v>45264</c:v>
                </c:pt>
                <c:pt idx="880">
                  <c:v>45265</c:v>
                </c:pt>
                <c:pt idx="881">
                  <c:v>45266</c:v>
                </c:pt>
                <c:pt idx="882">
                  <c:v>45267</c:v>
                </c:pt>
                <c:pt idx="883">
                  <c:v>45268</c:v>
                </c:pt>
                <c:pt idx="884">
                  <c:v>45271</c:v>
                </c:pt>
                <c:pt idx="885">
                  <c:v>45272</c:v>
                </c:pt>
                <c:pt idx="886">
                  <c:v>45273</c:v>
                </c:pt>
                <c:pt idx="887">
                  <c:v>45274</c:v>
                </c:pt>
                <c:pt idx="888">
                  <c:v>45275</c:v>
                </c:pt>
                <c:pt idx="889">
                  <c:v>45278</c:v>
                </c:pt>
                <c:pt idx="890">
                  <c:v>45279</c:v>
                </c:pt>
                <c:pt idx="891">
                  <c:v>45280</c:v>
                </c:pt>
                <c:pt idx="892">
                  <c:v>45281</c:v>
                </c:pt>
                <c:pt idx="893">
                  <c:v>45282</c:v>
                </c:pt>
                <c:pt idx="894">
                  <c:v>45286</c:v>
                </c:pt>
                <c:pt idx="895">
                  <c:v>45287</c:v>
                </c:pt>
                <c:pt idx="896">
                  <c:v>45288</c:v>
                </c:pt>
                <c:pt idx="897">
                  <c:v>45289</c:v>
                </c:pt>
                <c:pt idx="898">
                  <c:v>45293</c:v>
                </c:pt>
                <c:pt idx="899">
                  <c:v>45294</c:v>
                </c:pt>
                <c:pt idx="900">
                  <c:v>45295</c:v>
                </c:pt>
                <c:pt idx="901">
                  <c:v>45296</c:v>
                </c:pt>
                <c:pt idx="902">
                  <c:v>45299</c:v>
                </c:pt>
                <c:pt idx="903">
                  <c:v>45300</c:v>
                </c:pt>
                <c:pt idx="904">
                  <c:v>45301</c:v>
                </c:pt>
                <c:pt idx="905">
                  <c:v>45302</c:v>
                </c:pt>
                <c:pt idx="906">
                  <c:v>45303</c:v>
                </c:pt>
                <c:pt idx="907">
                  <c:v>45307</c:v>
                </c:pt>
                <c:pt idx="908">
                  <c:v>45308</c:v>
                </c:pt>
                <c:pt idx="909">
                  <c:v>45309</c:v>
                </c:pt>
                <c:pt idx="910">
                  <c:v>45310</c:v>
                </c:pt>
                <c:pt idx="911">
                  <c:v>45313</c:v>
                </c:pt>
                <c:pt idx="912">
                  <c:v>45314</c:v>
                </c:pt>
                <c:pt idx="913">
                  <c:v>45315</c:v>
                </c:pt>
                <c:pt idx="914">
                  <c:v>45316</c:v>
                </c:pt>
                <c:pt idx="915">
                  <c:v>45317</c:v>
                </c:pt>
                <c:pt idx="916">
                  <c:v>45320</c:v>
                </c:pt>
                <c:pt idx="917">
                  <c:v>45321</c:v>
                </c:pt>
                <c:pt idx="918">
                  <c:v>45322</c:v>
                </c:pt>
                <c:pt idx="919">
                  <c:v>45323</c:v>
                </c:pt>
                <c:pt idx="920">
                  <c:v>45324</c:v>
                </c:pt>
                <c:pt idx="921">
                  <c:v>45327</c:v>
                </c:pt>
                <c:pt idx="922">
                  <c:v>45328</c:v>
                </c:pt>
                <c:pt idx="923">
                  <c:v>45329</c:v>
                </c:pt>
                <c:pt idx="924">
                  <c:v>45330</c:v>
                </c:pt>
                <c:pt idx="925">
                  <c:v>45331</c:v>
                </c:pt>
                <c:pt idx="926">
                  <c:v>45334</c:v>
                </c:pt>
                <c:pt idx="927">
                  <c:v>45335</c:v>
                </c:pt>
                <c:pt idx="928">
                  <c:v>45336</c:v>
                </c:pt>
                <c:pt idx="929">
                  <c:v>45337</c:v>
                </c:pt>
                <c:pt idx="930">
                  <c:v>45338</c:v>
                </c:pt>
                <c:pt idx="931">
                  <c:v>45342</c:v>
                </c:pt>
                <c:pt idx="932">
                  <c:v>45343</c:v>
                </c:pt>
                <c:pt idx="933">
                  <c:v>45344</c:v>
                </c:pt>
                <c:pt idx="934">
                  <c:v>45345</c:v>
                </c:pt>
                <c:pt idx="935">
                  <c:v>45348</c:v>
                </c:pt>
                <c:pt idx="936">
                  <c:v>45349</c:v>
                </c:pt>
                <c:pt idx="937">
                  <c:v>45350</c:v>
                </c:pt>
                <c:pt idx="938">
                  <c:v>45351</c:v>
                </c:pt>
                <c:pt idx="939">
                  <c:v>45352</c:v>
                </c:pt>
                <c:pt idx="940">
                  <c:v>45355</c:v>
                </c:pt>
                <c:pt idx="941">
                  <c:v>45356</c:v>
                </c:pt>
                <c:pt idx="942">
                  <c:v>45357</c:v>
                </c:pt>
                <c:pt idx="943">
                  <c:v>45358</c:v>
                </c:pt>
                <c:pt idx="944">
                  <c:v>45359</c:v>
                </c:pt>
                <c:pt idx="945">
                  <c:v>45362</c:v>
                </c:pt>
                <c:pt idx="946">
                  <c:v>45363</c:v>
                </c:pt>
                <c:pt idx="947">
                  <c:v>45364</c:v>
                </c:pt>
                <c:pt idx="948">
                  <c:v>45365</c:v>
                </c:pt>
                <c:pt idx="949">
                  <c:v>45366</c:v>
                </c:pt>
                <c:pt idx="950">
                  <c:v>45369</c:v>
                </c:pt>
                <c:pt idx="951">
                  <c:v>45370</c:v>
                </c:pt>
                <c:pt idx="952">
                  <c:v>45371</c:v>
                </c:pt>
                <c:pt idx="953">
                  <c:v>45372</c:v>
                </c:pt>
                <c:pt idx="954">
                  <c:v>45373</c:v>
                </c:pt>
                <c:pt idx="955">
                  <c:v>45376</c:v>
                </c:pt>
                <c:pt idx="956">
                  <c:v>45377</c:v>
                </c:pt>
                <c:pt idx="957">
                  <c:v>45378</c:v>
                </c:pt>
                <c:pt idx="958">
                  <c:v>45379</c:v>
                </c:pt>
                <c:pt idx="959">
                  <c:v>45383</c:v>
                </c:pt>
                <c:pt idx="960">
                  <c:v>45384</c:v>
                </c:pt>
                <c:pt idx="961">
                  <c:v>45385</c:v>
                </c:pt>
                <c:pt idx="962">
                  <c:v>45386</c:v>
                </c:pt>
                <c:pt idx="963">
                  <c:v>45387</c:v>
                </c:pt>
                <c:pt idx="964">
                  <c:v>45390</c:v>
                </c:pt>
                <c:pt idx="965">
                  <c:v>45391</c:v>
                </c:pt>
                <c:pt idx="966">
                  <c:v>45392</c:v>
                </c:pt>
                <c:pt idx="967">
                  <c:v>45393</c:v>
                </c:pt>
                <c:pt idx="968">
                  <c:v>45394</c:v>
                </c:pt>
                <c:pt idx="969">
                  <c:v>45397</c:v>
                </c:pt>
                <c:pt idx="970">
                  <c:v>45398</c:v>
                </c:pt>
                <c:pt idx="971">
                  <c:v>45399</c:v>
                </c:pt>
                <c:pt idx="972">
                  <c:v>45400</c:v>
                </c:pt>
                <c:pt idx="973">
                  <c:v>45401</c:v>
                </c:pt>
                <c:pt idx="974">
                  <c:v>45404</c:v>
                </c:pt>
                <c:pt idx="975">
                  <c:v>45405</c:v>
                </c:pt>
                <c:pt idx="976">
                  <c:v>45406</c:v>
                </c:pt>
                <c:pt idx="977">
                  <c:v>45407</c:v>
                </c:pt>
                <c:pt idx="978">
                  <c:v>45408</c:v>
                </c:pt>
                <c:pt idx="979">
                  <c:v>45411</c:v>
                </c:pt>
                <c:pt idx="980">
                  <c:v>45412</c:v>
                </c:pt>
                <c:pt idx="981">
                  <c:v>45413</c:v>
                </c:pt>
                <c:pt idx="982">
                  <c:v>45414</c:v>
                </c:pt>
                <c:pt idx="983">
                  <c:v>45415</c:v>
                </c:pt>
                <c:pt idx="984">
                  <c:v>45418</c:v>
                </c:pt>
                <c:pt idx="985">
                  <c:v>45419</c:v>
                </c:pt>
                <c:pt idx="986">
                  <c:v>45420</c:v>
                </c:pt>
                <c:pt idx="987">
                  <c:v>45421</c:v>
                </c:pt>
                <c:pt idx="988">
                  <c:v>45422</c:v>
                </c:pt>
                <c:pt idx="989">
                  <c:v>45425</c:v>
                </c:pt>
                <c:pt idx="990">
                  <c:v>45426</c:v>
                </c:pt>
                <c:pt idx="991">
                  <c:v>45427</c:v>
                </c:pt>
                <c:pt idx="992">
                  <c:v>45428</c:v>
                </c:pt>
                <c:pt idx="993">
                  <c:v>45429</c:v>
                </c:pt>
                <c:pt idx="994">
                  <c:v>45432</c:v>
                </c:pt>
                <c:pt idx="995">
                  <c:v>45433</c:v>
                </c:pt>
                <c:pt idx="996">
                  <c:v>45434</c:v>
                </c:pt>
                <c:pt idx="997">
                  <c:v>45435</c:v>
                </c:pt>
                <c:pt idx="998">
                  <c:v>45436</c:v>
                </c:pt>
                <c:pt idx="999">
                  <c:v>45440</c:v>
                </c:pt>
                <c:pt idx="1000">
                  <c:v>45441</c:v>
                </c:pt>
                <c:pt idx="1001">
                  <c:v>45442</c:v>
                </c:pt>
                <c:pt idx="1002">
                  <c:v>45443</c:v>
                </c:pt>
                <c:pt idx="1003">
                  <c:v>45446</c:v>
                </c:pt>
                <c:pt idx="1004">
                  <c:v>45447</c:v>
                </c:pt>
                <c:pt idx="1005">
                  <c:v>45448</c:v>
                </c:pt>
                <c:pt idx="1006">
                  <c:v>45449</c:v>
                </c:pt>
                <c:pt idx="1007">
                  <c:v>45450</c:v>
                </c:pt>
                <c:pt idx="1008">
                  <c:v>45453</c:v>
                </c:pt>
                <c:pt idx="1009">
                  <c:v>45454</c:v>
                </c:pt>
                <c:pt idx="1010">
                  <c:v>45455</c:v>
                </c:pt>
                <c:pt idx="1011">
                  <c:v>45456</c:v>
                </c:pt>
                <c:pt idx="1012">
                  <c:v>45457</c:v>
                </c:pt>
                <c:pt idx="1013">
                  <c:v>45460</c:v>
                </c:pt>
                <c:pt idx="1014">
                  <c:v>45461</c:v>
                </c:pt>
                <c:pt idx="1015">
                  <c:v>45463</c:v>
                </c:pt>
                <c:pt idx="1016">
                  <c:v>45464</c:v>
                </c:pt>
                <c:pt idx="1017">
                  <c:v>45467</c:v>
                </c:pt>
                <c:pt idx="1018">
                  <c:v>45468</c:v>
                </c:pt>
                <c:pt idx="1019">
                  <c:v>45469</c:v>
                </c:pt>
                <c:pt idx="1020">
                  <c:v>45470</c:v>
                </c:pt>
                <c:pt idx="1021">
                  <c:v>45471</c:v>
                </c:pt>
                <c:pt idx="1022">
                  <c:v>45474</c:v>
                </c:pt>
                <c:pt idx="1023">
                  <c:v>45475</c:v>
                </c:pt>
                <c:pt idx="1024">
                  <c:v>45476</c:v>
                </c:pt>
                <c:pt idx="1025">
                  <c:v>45478</c:v>
                </c:pt>
                <c:pt idx="1026">
                  <c:v>45481</c:v>
                </c:pt>
                <c:pt idx="1027">
                  <c:v>45482</c:v>
                </c:pt>
                <c:pt idx="1028">
                  <c:v>45483</c:v>
                </c:pt>
                <c:pt idx="1029">
                  <c:v>45484</c:v>
                </c:pt>
                <c:pt idx="1030">
                  <c:v>45485</c:v>
                </c:pt>
                <c:pt idx="1031">
                  <c:v>45488</c:v>
                </c:pt>
                <c:pt idx="1032">
                  <c:v>45489</c:v>
                </c:pt>
                <c:pt idx="1033">
                  <c:v>45490</c:v>
                </c:pt>
                <c:pt idx="1034">
                  <c:v>45491</c:v>
                </c:pt>
                <c:pt idx="1035">
                  <c:v>45492</c:v>
                </c:pt>
                <c:pt idx="1036">
                  <c:v>45495</c:v>
                </c:pt>
                <c:pt idx="1037">
                  <c:v>45496</c:v>
                </c:pt>
                <c:pt idx="1038">
                  <c:v>45497</c:v>
                </c:pt>
                <c:pt idx="1039">
                  <c:v>45498</c:v>
                </c:pt>
                <c:pt idx="1040">
                  <c:v>45499</c:v>
                </c:pt>
                <c:pt idx="1041">
                  <c:v>45502</c:v>
                </c:pt>
                <c:pt idx="1042">
                  <c:v>45503</c:v>
                </c:pt>
                <c:pt idx="1043">
                  <c:v>45504</c:v>
                </c:pt>
                <c:pt idx="1044">
                  <c:v>45505</c:v>
                </c:pt>
                <c:pt idx="1045">
                  <c:v>45506</c:v>
                </c:pt>
                <c:pt idx="1046">
                  <c:v>45509</c:v>
                </c:pt>
                <c:pt idx="1047">
                  <c:v>45510</c:v>
                </c:pt>
                <c:pt idx="1048">
                  <c:v>45511</c:v>
                </c:pt>
                <c:pt idx="1049">
                  <c:v>45512</c:v>
                </c:pt>
                <c:pt idx="1050">
                  <c:v>45513</c:v>
                </c:pt>
                <c:pt idx="1051">
                  <c:v>45516</c:v>
                </c:pt>
                <c:pt idx="1052">
                  <c:v>45517</c:v>
                </c:pt>
                <c:pt idx="1053">
                  <c:v>45518</c:v>
                </c:pt>
                <c:pt idx="1054">
                  <c:v>45519</c:v>
                </c:pt>
                <c:pt idx="1055">
                  <c:v>45520</c:v>
                </c:pt>
                <c:pt idx="1056">
                  <c:v>45523</c:v>
                </c:pt>
                <c:pt idx="1057">
                  <c:v>45524</c:v>
                </c:pt>
                <c:pt idx="1058">
                  <c:v>45525</c:v>
                </c:pt>
                <c:pt idx="1059">
                  <c:v>45526</c:v>
                </c:pt>
                <c:pt idx="1060">
                  <c:v>45527</c:v>
                </c:pt>
                <c:pt idx="1061">
                  <c:v>45530</c:v>
                </c:pt>
                <c:pt idx="1062">
                  <c:v>45531</c:v>
                </c:pt>
                <c:pt idx="1063">
                  <c:v>45532</c:v>
                </c:pt>
                <c:pt idx="1064">
                  <c:v>45533</c:v>
                </c:pt>
                <c:pt idx="1065">
                  <c:v>45534</c:v>
                </c:pt>
                <c:pt idx="1066">
                  <c:v>45538</c:v>
                </c:pt>
                <c:pt idx="1067">
                  <c:v>45539</c:v>
                </c:pt>
                <c:pt idx="1068">
                  <c:v>45540</c:v>
                </c:pt>
                <c:pt idx="1069">
                  <c:v>45541</c:v>
                </c:pt>
                <c:pt idx="1070">
                  <c:v>45544</c:v>
                </c:pt>
                <c:pt idx="1071">
                  <c:v>45545</c:v>
                </c:pt>
                <c:pt idx="1072">
                  <c:v>45546</c:v>
                </c:pt>
                <c:pt idx="1073">
                  <c:v>45547</c:v>
                </c:pt>
                <c:pt idx="1074">
                  <c:v>45548</c:v>
                </c:pt>
                <c:pt idx="1075">
                  <c:v>45551</c:v>
                </c:pt>
                <c:pt idx="1076">
                  <c:v>45552</c:v>
                </c:pt>
                <c:pt idx="1077">
                  <c:v>45553</c:v>
                </c:pt>
                <c:pt idx="1078">
                  <c:v>45554</c:v>
                </c:pt>
                <c:pt idx="1079">
                  <c:v>45555</c:v>
                </c:pt>
                <c:pt idx="1080">
                  <c:v>45558</c:v>
                </c:pt>
                <c:pt idx="1081">
                  <c:v>45559</c:v>
                </c:pt>
                <c:pt idx="1082">
                  <c:v>45560</c:v>
                </c:pt>
                <c:pt idx="1083">
                  <c:v>45561</c:v>
                </c:pt>
                <c:pt idx="1084">
                  <c:v>45562</c:v>
                </c:pt>
                <c:pt idx="1085">
                  <c:v>45565</c:v>
                </c:pt>
                <c:pt idx="1086">
                  <c:v>45566</c:v>
                </c:pt>
                <c:pt idx="1087">
                  <c:v>45567</c:v>
                </c:pt>
                <c:pt idx="1088">
                  <c:v>45568</c:v>
                </c:pt>
                <c:pt idx="1089">
                  <c:v>45569</c:v>
                </c:pt>
                <c:pt idx="1090">
                  <c:v>45572</c:v>
                </c:pt>
                <c:pt idx="1091">
                  <c:v>45573</c:v>
                </c:pt>
                <c:pt idx="1092">
                  <c:v>45574</c:v>
                </c:pt>
                <c:pt idx="1093">
                  <c:v>45575</c:v>
                </c:pt>
                <c:pt idx="1094">
                  <c:v>45576</c:v>
                </c:pt>
                <c:pt idx="1095">
                  <c:v>45579</c:v>
                </c:pt>
                <c:pt idx="1096">
                  <c:v>45580</c:v>
                </c:pt>
                <c:pt idx="1097">
                  <c:v>45581</c:v>
                </c:pt>
                <c:pt idx="1098">
                  <c:v>45582</c:v>
                </c:pt>
                <c:pt idx="1099">
                  <c:v>45583</c:v>
                </c:pt>
                <c:pt idx="1100">
                  <c:v>45586</c:v>
                </c:pt>
                <c:pt idx="1101">
                  <c:v>45587</c:v>
                </c:pt>
                <c:pt idx="1102">
                  <c:v>45588</c:v>
                </c:pt>
                <c:pt idx="1103">
                  <c:v>45589</c:v>
                </c:pt>
                <c:pt idx="1104">
                  <c:v>45590</c:v>
                </c:pt>
                <c:pt idx="1105">
                  <c:v>45593</c:v>
                </c:pt>
                <c:pt idx="1106">
                  <c:v>45594</c:v>
                </c:pt>
                <c:pt idx="1107">
                  <c:v>45595</c:v>
                </c:pt>
                <c:pt idx="1108">
                  <c:v>45596</c:v>
                </c:pt>
                <c:pt idx="1109">
                  <c:v>45597</c:v>
                </c:pt>
                <c:pt idx="1110">
                  <c:v>45600</c:v>
                </c:pt>
                <c:pt idx="1111">
                  <c:v>45601</c:v>
                </c:pt>
                <c:pt idx="1112">
                  <c:v>45602</c:v>
                </c:pt>
                <c:pt idx="1113">
                  <c:v>45603</c:v>
                </c:pt>
                <c:pt idx="1114">
                  <c:v>45604</c:v>
                </c:pt>
                <c:pt idx="1115">
                  <c:v>45607</c:v>
                </c:pt>
                <c:pt idx="1116">
                  <c:v>45608</c:v>
                </c:pt>
                <c:pt idx="1117">
                  <c:v>45609</c:v>
                </c:pt>
                <c:pt idx="1118">
                  <c:v>45610</c:v>
                </c:pt>
                <c:pt idx="1119">
                  <c:v>45611</c:v>
                </c:pt>
                <c:pt idx="1120">
                  <c:v>45614</c:v>
                </c:pt>
                <c:pt idx="1121">
                  <c:v>45615</c:v>
                </c:pt>
                <c:pt idx="1122">
                  <c:v>45616</c:v>
                </c:pt>
                <c:pt idx="1123">
                  <c:v>45617</c:v>
                </c:pt>
                <c:pt idx="1124">
                  <c:v>45618</c:v>
                </c:pt>
                <c:pt idx="1125">
                  <c:v>45621</c:v>
                </c:pt>
                <c:pt idx="1126">
                  <c:v>45622</c:v>
                </c:pt>
                <c:pt idx="1127">
                  <c:v>45623</c:v>
                </c:pt>
                <c:pt idx="1128">
                  <c:v>45625</c:v>
                </c:pt>
                <c:pt idx="1129">
                  <c:v>45628</c:v>
                </c:pt>
                <c:pt idx="1130">
                  <c:v>45629</c:v>
                </c:pt>
                <c:pt idx="1131">
                  <c:v>45630</c:v>
                </c:pt>
                <c:pt idx="1132">
                  <c:v>45631</c:v>
                </c:pt>
                <c:pt idx="1133">
                  <c:v>45632</c:v>
                </c:pt>
                <c:pt idx="1134">
                  <c:v>45635</c:v>
                </c:pt>
                <c:pt idx="1135">
                  <c:v>45636</c:v>
                </c:pt>
                <c:pt idx="1136">
                  <c:v>45637</c:v>
                </c:pt>
                <c:pt idx="1137">
                  <c:v>45638</c:v>
                </c:pt>
                <c:pt idx="1138">
                  <c:v>45639</c:v>
                </c:pt>
                <c:pt idx="1139">
                  <c:v>45642</c:v>
                </c:pt>
                <c:pt idx="1140">
                  <c:v>45643</c:v>
                </c:pt>
                <c:pt idx="1141">
                  <c:v>45644</c:v>
                </c:pt>
                <c:pt idx="1142">
                  <c:v>45645</c:v>
                </c:pt>
                <c:pt idx="1143">
                  <c:v>45646</c:v>
                </c:pt>
                <c:pt idx="1144">
                  <c:v>45649</c:v>
                </c:pt>
                <c:pt idx="1145">
                  <c:v>45650</c:v>
                </c:pt>
                <c:pt idx="1146">
                  <c:v>45652</c:v>
                </c:pt>
                <c:pt idx="1147">
                  <c:v>45653</c:v>
                </c:pt>
                <c:pt idx="1148">
                  <c:v>45656</c:v>
                </c:pt>
                <c:pt idx="1149">
                  <c:v>45657</c:v>
                </c:pt>
                <c:pt idx="1150">
                  <c:v>45659</c:v>
                </c:pt>
                <c:pt idx="1151">
                  <c:v>45660</c:v>
                </c:pt>
                <c:pt idx="1152">
                  <c:v>45663</c:v>
                </c:pt>
                <c:pt idx="1153">
                  <c:v>45664</c:v>
                </c:pt>
                <c:pt idx="1154">
                  <c:v>45665</c:v>
                </c:pt>
                <c:pt idx="1155">
                  <c:v>45667</c:v>
                </c:pt>
                <c:pt idx="1156">
                  <c:v>45670</c:v>
                </c:pt>
                <c:pt idx="1157">
                  <c:v>45671</c:v>
                </c:pt>
                <c:pt idx="1158">
                  <c:v>45672</c:v>
                </c:pt>
                <c:pt idx="1159">
                  <c:v>45673</c:v>
                </c:pt>
                <c:pt idx="1160">
                  <c:v>45674</c:v>
                </c:pt>
                <c:pt idx="1161">
                  <c:v>45678</c:v>
                </c:pt>
                <c:pt idx="1162">
                  <c:v>45679</c:v>
                </c:pt>
                <c:pt idx="1163">
                  <c:v>45680</c:v>
                </c:pt>
                <c:pt idx="1164">
                  <c:v>45681</c:v>
                </c:pt>
                <c:pt idx="1165">
                  <c:v>45684</c:v>
                </c:pt>
                <c:pt idx="1166">
                  <c:v>45685</c:v>
                </c:pt>
                <c:pt idx="1167">
                  <c:v>45686</c:v>
                </c:pt>
                <c:pt idx="1168">
                  <c:v>45687</c:v>
                </c:pt>
                <c:pt idx="1169">
                  <c:v>45688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45706</c:v>
                </c:pt>
                <c:pt idx="1181">
                  <c:v>45707</c:v>
                </c:pt>
                <c:pt idx="1182">
                  <c:v>45708</c:v>
                </c:pt>
                <c:pt idx="1183">
                  <c:v>45709</c:v>
                </c:pt>
                <c:pt idx="1184">
                  <c:v>45712</c:v>
                </c:pt>
                <c:pt idx="1185">
                  <c:v>45713</c:v>
                </c:pt>
                <c:pt idx="1186">
                  <c:v>45714</c:v>
                </c:pt>
                <c:pt idx="1187">
                  <c:v>45715</c:v>
                </c:pt>
                <c:pt idx="1188">
                  <c:v>45716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45750</c:v>
                </c:pt>
                <c:pt idx="1213">
                  <c:v>45751</c:v>
                </c:pt>
                <c:pt idx="1214">
                  <c:v>45754</c:v>
                </c:pt>
                <c:pt idx="1215">
                  <c:v>45755</c:v>
                </c:pt>
                <c:pt idx="1216">
                  <c:v>45756</c:v>
                </c:pt>
                <c:pt idx="1217">
                  <c:v>45757</c:v>
                </c:pt>
                <c:pt idx="1218">
                  <c:v>45758</c:v>
                </c:pt>
                <c:pt idx="1219">
                  <c:v>45761</c:v>
                </c:pt>
                <c:pt idx="1220">
                  <c:v>45762</c:v>
                </c:pt>
                <c:pt idx="1221">
                  <c:v>45763</c:v>
                </c:pt>
                <c:pt idx="1222">
                  <c:v>45764</c:v>
                </c:pt>
                <c:pt idx="1223">
                  <c:v>45768</c:v>
                </c:pt>
                <c:pt idx="1224">
                  <c:v>45769</c:v>
                </c:pt>
                <c:pt idx="1225">
                  <c:v>45770</c:v>
                </c:pt>
                <c:pt idx="1226">
                  <c:v>45771</c:v>
                </c:pt>
                <c:pt idx="1227">
                  <c:v>45772</c:v>
                </c:pt>
                <c:pt idx="1228">
                  <c:v>45775</c:v>
                </c:pt>
                <c:pt idx="1229">
                  <c:v>45776</c:v>
                </c:pt>
                <c:pt idx="1230">
                  <c:v>45777</c:v>
                </c:pt>
                <c:pt idx="1231">
                  <c:v>45778</c:v>
                </c:pt>
                <c:pt idx="1232">
                  <c:v>45779</c:v>
                </c:pt>
                <c:pt idx="1233">
                  <c:v>45782</c:v>
                </c:pt>
                <c:pt idx="1234">
                  <c:v>45783</c:v>
                </c:pt>
                <c:pt idx="1235">
                  <c:v>45784</c:v>
                </c:pt>
                <c:pt idx="1236">
                  <c:v>45785</c:v>
                </c:pt>
                <c:pt idx="1237">
                  <c:v>45786</c:v>
                </c:pt>
                <c:pt idx="1238">
                  <c:v>45789</c:v>
                </c:pt>
                <c:pt idx="1239">
                  <c:v>45790</c:v>
                </c:pt>
                <c:pt idx="1240">
                  <c:v>45791</c:v>
                </c:pt>
                <c:pt idx="1241">
                  <c:v>45792</c:v>
                </c:pt>
                <c:pt idx="1242">
                  <c:v>45793</c:v>
                </c:pt>
                <c:pt idx="1243">
                  <c:v>45796</c:v>
                </c:pt>
                <c:pt idx="1244">
                  <c:v>45797</c:v>
                </c:pt>
                <c:pt idx="1245">
                  <c:v>45798</c:v>
                </c:pt>
                <c:pt idx="1246">
                  <c:v>45799</c:v>
                </c:pt>
                <c:pt idx="1247">
                  <c:v>45800</c:v>
                </c:pt>
                <c:pt idx="1248">
                  <c:v>45804</c:v>
                </c:pt>
                <c:pt idx="1249">
                  <c:v>45805</c:v>
                </c:pt>
                <c:pt idx="1250">
                  <c:v>45806</c:v>
                </c:pt>
                <c:pt idx="1251">
                  <c:v>45807</c:v>
                </c:pt>
                <c:pt idx="1252">
                  <c:v>45810</c:v>
                </c:pt>
                <c:pt idx="1253">
                  <c:v>45811</c:v>
                </c:pt>
                <c:pt idx="1254">
                  <c:v>45812</c:v>
                </c:pt>
                <c:pt idx="1255">
                  <c:v>45813</c:v>
                </c:pt>
                <c:pt idx="1256">
                  <c:v>45814</c:v>
                </c:pt>
              </c:numCache>
            </c:numRef>
          </c:cat>
          <c:val>
            <c:numRef>
              <c:f>'Share Price 5y'!$D$3:$D$1752</c:f>
              <c:numCache>
                <c:formatCode>General</c:formatCode>
                <c:ptCount val="1750"/>
                <c:pt idx="0">
                  <c:v>8.8770000000000007</c:v>
                </c:pt>
                <c:pt idx="1">
                  <c:v>8.8000000000000007</c:v>
                </c:pt>
                <c:pt idx="2">
                  <c:v>9.1679999999999993</c:v>
                </c:pt>
                <c:pt idx="3">
                  <c:v>9.15</c:v>
                </c:pt>
                <c:pt idx="4">
                  <c:v>9.1630000000000003</c:v>
                </c:pt>
                <c:pt idx="5">
                  <c:v>8.8149999999999995</c:v>
                </c:pt>
                <c:pt idx="6">
                  <c:v>9.2249999999999996</c:v>
                </c:pt>
                <c:pt idx="7">
                  <c:v>9.1140000000000008</c:v>
                </c:pt>
                <c:pt idx="8">
                  <c:v>9.2270000000000003</c:v>
                </c:pt>
                <c:pt idx="9">
                  <c:v>9.2430000000000003</c:v>
                </c:pt>
                <c:pt idx="10">
                  <c:v>9.3000000000000007</c:v>
                </c:pt>
                <c:pt idx="11">
                  <c:v>9.5510000000000002</c:v>
                </c:pt>
                <c:pt idx="12">
                  <c:v>9.4760000000000009</c:v>
                </c:pt>
                <c:pt idx="13">
                  <c:v>9.3559999999999999</c:v>
                </c:pt>
                <c:pt idx="14">
                  <c:v>9.5</c:v>
                </c:pt>
                <c:pt idx="15">
                  <c:v>9.17</c:v>
                </c:pt>
                <c:pt idx="16">
                  <c:v>9.3140000000000001</c:v>
                </c:pt>
                <c:pt idx="17">
                  <c:v>9.5210000000000008</c:v>
                </c:pt>
                <c:pt idx="18">
                  <c:v>9.6389999999999993</c:v>
                </c:pt>
                <c:pt idx="19">
                  <c:v>9.7420000000000009</c:v>
                </c:pt>
                <c:pt idx="20">
                  <c:v>9.9459999999999997</c:v>
                </c:pt>
                <c:pt idx="21">
                  <c:v>9.9939999999999998</c:v>
                </c:pt>
                <c:pt idx="22">
                  <c:v>10.38</c:v>
                </c:pt>
                <c:pt idx="23">
                  <c:v>10.589</c:v>
                </c:pt>
                <c:pt idx="24">
                  <c:v>10.595000000000001</c:v>
                </c:pt>
                <c:pt idx="25">
                  <c:v>10.074999999999999</c:v>
                </c:pt>
                <c:pt idx="26">
                  <c:v>10.414</c:v>
                </c:pt>
                <c:pt idx="27">
                  <c:v>10.015000000000001</c:v>
                </c:pt>
                <c:pt idx="28">
                  <c:v>10.226000000000001</c:v>
                </c:pt>
                <c:pt idx="29">
                  <c:v>10.273999999999999</c:v>
                </c:pt>
                <c:pt idx="30">
                  <c:v>10.513</c:v>
                </c:pt>
                <c:pt idx="31">
                  <c:v>10.368</c:v>
                </c:pt>
                <c:pt idx="32">
                  <c:v>10.45</c:v>
                </c:pt>
                <c:pt idx="33">
                  <c:v>9.875</c:v>
                </c:pt>
                <c:pt idx="34">
                  <c:v>10.231999999999999</c:v>
                </c:pt>
                <c:pt idx="35">
                  <c:v>10.374000000000001</c:v>
                </c:pt>
                <c:pt idx="36">
                  <c:v>10.391</c:v>
                </c:pt>
                <c:pt idx="37">
                  <c:v>10.375</c:v>
                </c:pt>
                <c:pt idx="38">
                  <c:v>10.563000000000001</c:v>
                </c:pt>
                <c:pt idx="39">
                  <c:v>10.733000000000001</c:v>
                </c:pt>
                <c:pt idx="40">
                  <c:v>11.05</c:v>
                </c:pt>
                <c:pt idx="41">
                  <c:v>11.244</c:v>
                </c:pt>
                <c:pt idx="42">
                  <c:v>11.35</c:v>
                </c:pt>
                <c:pt idx="43">
                  <c:v>11.313000000000001</c:v>
                </c:pt>
                <c:pt idx="44">
                  <c:v>11.334</c:v>
                </c:pt>
                <c:pt idx="45">
                  <c:v>11.074</c:v>
                </c:pt>
                <c:pt idx="46">
                  <c:v>10.991</c:v>
                </c:pt>
                <c:pt idx="47">
                  <c:v>11.545999999999999</c:v>
                </c:pt>
                <c:pt idx="48">
                  <c:v>11.53</c:v>
                </c:pt>
                <c:pt idx="49">
                  <c:v>11.851000000000001</c:v>
                </c:pt>
                <c:pt idx="50">
                  <c:v>12.45</c:v>
                </c:pt>
                <c:pt idx="51">
                  <c:v>12.297000000000001</c:v>
                </c:pt>
                <c:pt idx="52">
                  <c:v>11.975</c:v>
                </c:pt>
                <c:pt idx="53">
                  <c:v>12.202</c:v>
                </c:pt>
                <c:pt idx="54">
                  <c:v>12.884</c:v>
                </c:pt>
                <c:pt idx="55">
                  <c:v>12.631</c:v>
                </c:pt>
                <c:pt idx="56">
                  <c:v>12.798999999999999</c:v>
                </c:pt>
                <c:pt idx="57">
                  <c:v>12.782</c:v>
                </c:pt>
                <c:pt idx="58">
                  <c:v>12.675000000000001</c:v>
                </c:pt>
                <c:pt idx="59">
                  <c:v>13.183</c:v>
                </c:pt>
                <c:pt idx="60">
                  <c:v>13.48</c:v>
                </c:pt>
                <c:pt idx="61">
                  <c:v>14.704000000000001</c:v>
                </c:pt>
                <c:pt idx="62">
                  <c:v>13.829000000000001</c:v>
                </c:pt>
                <c:pt idx="63">
                  <c:v>12.784000000000001</c:v>
                </c:pt>
                <c:pt idx="64">
                  <c:v>11.734999999999999</c:v>
                </c:pt>
                <c:pt idx="65">
                  <c:v>12.4</c:v>
                </c:pt>
                <c:pt idx="66">
                  <c:v>12.989000000000001</c:v>
                </c:pt>
                <c:pt idx="67">
                  <c:v>12.486000000000001</c:v>
                </c:pt>
                <c:pt idx="68">
                  <c:v>13.081</c:v>
                </c:pt>
                <c:pt idx="69">
                  <c:v>13.28</c:v>
                </c:pt>
                <c:pt idx="70">
                  <c:v>12.957000000000001</c:v>
                </c:pt>
                <c:pt idx="71">
                  <c:v>12.132</c:v>
                </c:pt>
                <c:pt idx="72">
                  <c:v>12.593999999999999</c:v>
                </c:pt>
                <c:pt idx="73">
                  <c:v>11.925000000000001</c:v>
                </c:pt>
                <c:pt idx="74">
                  <c:v>12.574999999999999</c:v>
                </c:pt>
                <c:pt idx="75">
                  <c:v>12.576000000000001</c:v>
                </c:pt>
                <c:pt idx="76">
                  <c:v>12.071999999999999</c:v>
                </c:pt>
                <c:pt idx="77">
                  <c:v>12.448</c:v>
                </c:pt>
                <c:pt idx="78">
                  <c:v>13.04</c:v>
                </c:pt>
                <c:pt idx="79">
                  <c:v>12.938000000000001</c:v>
                </c:pt>
                <c:pt idx="80">
                  <c:v>13.157999999999999</c:v>
                </c:pt>
                <c:pt idx="81">
                  <c:v>13.757999999999999</c:v>
                </c:pt>
                <c:pt idx="82">
                  <c:v>13.225</c:v>
                </c:pt>
                <c:pt idx="83">
                  <c:v>13.236000000000001</c:v>
                </c:pt>
                <c:pt idx="84">
                  <c:v>13.83</c:v>
                </c:pt>
                <c:pt idx="85">
                  <c:v>14</c:v>
                </c:pt>
                <c:pt idx="86">
                  <c:v>14.074999999999999</c:v>
                </c:pt>
                <c:pt idx="87">
                  <c:v>13.766999999999999</c:v>
                </c:pt>
                <c:pt idx="88">
                  <c:v>13.99</c:v>
                </c:pt>
                <c:pt idx="89">
                  <c:v>14.297000000000001</c:v>
                </c:pt>
                <c:pt idx="90">
                  <c:v>14.291</c:v>
                </c:pt>
                <c:pt idx="91">
                  <c:v>13.811</c:v>
                </c:pt>
                <c:pt idx="92">
                  <c:v>14.037000000000001</c:v>
                </c:pt>
                <c:pt idx="93">
                  <c:v>13.903</c:v>
                </c:pt>
                <c:pt idx="94">
                  <c:v>13.584</c:v>
                </c:pt>
                <c:pt idx="95">
                  <c:v>13.625</c:v>
                </c:pt>
                <c:pt idx="96">
                  <c:v>13.523</c:v>
                </c:pt>
                <c:pt idx="97">
                  <c:v>13.45</c:v>
                </c:pt>
                <c:pt idx="98">
                  <c:v>13.427</c:v>
                </c:pt>
                <c:pt idx="99">
                  <c:v>13.305999999999999</c:v>
                </c:pt>
                <c:pt idx="100">
                  <c:v>13.198</c:v>
                </c:pt>
                <c:pt idx="101">
                  <c:v>12.839</c:v>
                </c:pt>
                <c:pt idx="102">
                  <c:v>12.85</c:v>
                </c:pt>
                <c:pt idx="103">
                  <c:v>12.657999999999999</c:v>
                </c:pt>
                <c:pt idx="104">
                  <c:v>12.709</c:v>
                </c:pt>
                <c:pt idx="105">
                  <c:v>13.388999999999999</c:v>
                </c:pt>
                <c:pt idx="106">
                  <c:v>14.163</c:v>
                </c:pt>
                <c:pt idx="107">
                  <c:v>14.11</c:v>
                </c:pt>
                <c:pt idx="108">
                  <c:v>14.553000000000001</c:v>
                </c:pt>
                <c:pt idx="109">
                  <c:v>13.606999999999999</c:v>
                </c:pt>
                <c:pt idx="110">
                  <c:v>13.054</c:v>
                </c:pt>
                <c:pt idx="111">
                  <c:v>13.478999999999999</c:v>
                </c:pt>
                <c:pt idx="112">
                  <c:v>13.627000000000001</c:v>
                </c:pt>
                <c:pt idx="113">
                  <c:v>13.173</c:v>
                </c:pt>
                <c:pt idx="114">
                  <c:v>13.553000000000001</c:v>
                </c:pt>
                <c:pt idx="115">
                  <c:v>13.465</c:v>
                </c:pt>
                <c:pt idx="116">
                  <c:v>13.212999999999999</c:v>
                </c:pt>
                <c:pt idx="117">
                  <c:v>13.454000000000001</c:v>
                </c:pt>
                <c:pt idx="118">
                  <c:v>13.170999999999999</c:v>
                </c:pt>
                <c:pt idx="119">
                  <c:v>13.143000000000001</c:v>
                </c:pt>
                <c:pt idx="120">
                  <c:v>13.032999999999999</c:v>
                </c:pt>
                <c:pt idx="121">
                  <c:v>13.375</c:v>
                </c:pt>
                <c:pt idx="122">
                  <c:v>13.265000000000001</c:v>
                </c:pt>
                <c:pt idx="123">
                  <c:v>13.492000000000001</c:v>
                </c:pt>
                <c:pt idx="124">
                  <c:v>13.351000000000001</c:v>
                </c:pt>
                <c:pt idx="125">
                  <c:v>13.587999999999999</c:v>
                </c:pt>
                <c:pt idx="126">
                  <c:v>13.449</c:v>
                </c:pt>
                <c:pt idx="127">
                  <c:v>13.601000000000001</c:v>
                </c:pt>
                <c:pt idx="128">
                  <c:v>13.585000000000001</c:v>
                </c:pt>
                <c:pt idx="129">
                  <c:v>13.301</c:v>
                </c:pt>
                <c:pt idx="130">
                  <c:v>12.869</c:v>
                </c:pt>
                <c:pt idx="131">
                  <c:v>12.967000000000001</c:v>
                </c:pt>
                <c:pt idx="132">
                  <c:v>13.087999999999999</c:v>
                </c:pt>
                <c:pt idx="133">
                  <c:v>13.44</c:v>
                </c:pt>
                <c:pt idx="134">
                  <c:v>13.422000000000001</c:v>
                </c:pt>
                <c:pt idx="135">
                  <c:v>13.367000000000001</c:v>
                </c:pt>
                <c:pt idx="136">
                  <c:v>13.379</c:v>
                </c:pt>
                <c:pt idx="137">
                  <c:v>13.074999999999999</c:v>
                </c:pt>
                <c:pt idx="138">
                  <c:v>13.319000000000001</c:v>
                </c:pt>
                <c:pt idx="139">
                  <c:v>13.256</c:v>
                </c:pt>
                <c:pt idx="140">
                  <c:v>13.037000000000001</c:v>
                </c:pt>
                <c:pt idx="141">
                  <c:v>13.063000000000001</c:v>
                </c:pt>
                <c:pt idx="142">
                  <c:v>12.925000000000001</c:v>
                </c:pt>
                <c:pt idx="143">
                  <c:v>12.99</c:v>
                </c:pt>
                <c:pt idx="144">
                  <c:v>13.137</c:v>
                </c:pt>
                <c:pt idx="145">
                  <c:v>13.103999999999999</c:v>
                </c:pt>
                <c:pt idx="146">
                  <c:v>13.1</c:v>
                </c:pt>
                <c:pt idx="147">
                  <c:v>13.223000000000001</c:v>
                </c:pt>
                <c:pt idx="148">
                  <c:v>12.968</c:v>
                </c:pt>
                <c:pt idx="149">
                  <c:v>13.363</c:v>
                </c:pt>
                <c:pt idx="150">
                  <c:v>13.419</c:v>
                </c:pt>
                <c:pt idx="151">
                  <c:v>13.753</c:v>
                </c:pt>
                <c:pt idx="152">
                  <c:v>13.49</c:v>
                </c:pt>
                <c:pt idx="153">
                  <c:v>13.574999999999999</c:v>
                </c:pt>
                <c:pt idx="154">
                  <c:v>13.228</c:v>
                </c:pt>
                <c:pt idx="155">
                  <c:v>13.016</c:v>
                </c:pt>
                <c:pt idx="156">
                  <c:v>13.112</c:v>
                </c:pt>
                <c:pt idx="157">
                  <c:v>13.419</c:v>
                </c:pt>
                <c:pt idx="158">
                  <c:v>13.74</c:v>
                </c:pt>
                <c:pt idx="159">
                  <c:v>13.782</c:v>
                </c:pt>
                <c:pt idx="160">
                  <c:v>13.58</c:v>
                </c:pt>
                <c:pt idx="161">
                  <c:v>13.23</c:v>
                </c:pt>
                <c:pt idx="162">
                  <c:v>12.996</c:v>
                </c:pt>
                <c:pt idx="163">
                  <c:v>13.074999999999999</c:v>
                </c:pt>
                <c:pt idx="164">
                  <c:v>13.053000000000001</c:v>
                </c:pt>
                <c:pt idx="165">
                  <c:v>13.398999999999999</c:v>
                </c:pt>
                <c:pt idx="166">
                  <c:v>13.635999999999999</c:v>
                </c:pt>
                <c:pt idx="167">
                  <c:v>13.531000000000001</c:v>
                </c:pt>
                <c:pt idx="168">
                  <c:v>13.725</c:v>
                </c:pt>
                <c:pt idx="169">
                  <c:v>13.727</c:v>
                </c:pt>
                <c:pt idx="170">
                  <c:v>14.340999999999999</c:v>
                </c:pt>
                <c:pt idx="171">
                  <c:v>14.462999999999999</c:v>
                </c:pt>
                <c:pt idx="172">
                  <c:v>14.98</c:v>
                </c:pt>
                <c:pt idx="173">
                  <c:v>15.05</c:v>
                </c:pt>
                <c:pt idx="174">
                  <c:v>15.064</c:v>
                </c:pt>
                <c:pt idx="175">
                  <c:v>15.170999999999999</c:v>
                </c:pt>
                <c:pt idx="176">
                  <c:v>14.728999999999999</c:v>
                </c:pt>
                <c:pt idx="177">
                  <c:v>15.025</c:v>
                </c:pt>
                <c:pt idx="178">
                  <c:v>14.927</c:v>
                </c:pt>
                <c:pt idx="179">
                  <c:v>14.074999999999999</c:v>
                </c:pt>
                <c:pt idx="180">
                  <c:v>14.122999999999999</c:v>
                </c:pt>
                <c:pt idx="181">
                  <c:v>14.045</c:v>
                </c:pt>
                <c:pt idx="182">
                  <c:v>13.753</c:v>
                </c:pt>
                <c:pt idx="183">
                  <c:v>13.875</c:v>
                </c:pt>
                <c:pt idx="184">
                  <c:v>13.9</c:v>
                </c:pt>
                <c:pt idx="185">
                  <c:v>13.426</c:v>
                </c:pt>
                <c:pt idx="186">
                  <c:v>12.801</c:v>
                </c:pt>
                <c:pt idx="187">
                  <c:v>12.55</c:v>
                </c:pt>
                <c:pt idx="188">
                  <c:v>12.45</c:v>
                </c:pt>
                <c:pt idx="189">
                  <c:v>12.13</c:v>
                </c:pt>
                <c:pt idx="190">
                  <c:v>12.840999999999999</c:v>
                </c:pt>
                <c:pt idx="191">
                  <c:v>12.95</c:v>
                </c:pt>
                <c:pt idx="192">
                  <c:v>12.648</c:v>
                </c:pt>
                <c:pt idx="193">
                  <c:v>12.865</c:v>
                </c:pt>
                <c:pt idx="194">
                  <c:v>13.356999999999999</c:v>
                </c:pt>
                <c:pt idx="195">
                  <c:v>13.04</c:v>
                </c:pt>
                <c:pt idx="196">
                  <c:v>13.137</c:v>
                </c:pt>
                <c:pt idx="197">
                  <c:v>12.75</c:v>
                </c:pt>
                <c:pt idx="198">
                  <c:v>12.913</c:v>
                </c:pt>
                <c:pt idx="199">
                  <c:v>13.254</c:v>
                </c:pt>
                <c:pt idx="200">
                  <c:v>13.151</c:v>
                </c:pt>
                <c:pt idx="201">
                  <c:v>12.5</c:v>
                </c:pt>
                <c:pt idx="202">
                  <c:v>12.555</c:v>
                </c:pt>
                <c:pt idx="203">
                  <c:v>12.82</c:v>
                </c:pt>
                <c:pt idx="204">
                  <c:v>12.842000000000001</c:v>
                </c:pt>
                <c:pt idx="205">
                  <c:v>13.016</c:v>
                </c:pt>
                <c:pt idx="206">
                  <c:v>13.571999999999999</c:v>
                </c:pt>
                <c:pt idx="207">
                  <c:v>13.868</c:v>
                </c:pt>
                <c:pt idx="208">
                  <c:v>14</c:v>
                </c:pt>
                <c:pt idx="209">
                  <c:v>13.881</c:v>
                </c:pt>
                <c:pt idx="210">
                  <c:v>14.253</c:v>
                </c:pt>
                <c:pt idx="211">
                  <c:v>14.214</c:v>
                </c:pt>
                <c:pt idx="212">
                  <c:v>14.29</c:v>
                </c:pt>
                <c:pt idx="213">
                  <c:v>15.231999999999999</c:v>
                </c:pt>
                <c:pt idx="214">
                  <c:v>15.625</c:v>
                </c:pt>
                <c:pt idx="215">
                  <c:v>15.663</c:v>
                </c:pt>
                <c:pt idx="216">
                  <c:v>16.053000000000001</c:v>
                </c:pt>
                <c:pt idx="217">
                  <c:v>15.537000000000001</c:v>
                </c:pt>
                <c:pt idx="218">
                  <c:v>15.323</c:v>
                </c:pt>
                <c:pt idx="219">
                  <c:v>15.119</c:v>
                </c:pt>
                <c:pt idx="220">
                  <c:v>15.375</c:v>
                </c:pt>
                <c:pt idx="221">
                  <c:v>14.933999999999999</c:v>
                </c:pt>
                <c:pt idx="222">
                  <c:v>15.185</c:v>
                </c:pt>
                <c:pt idx="223">
                  <c:v>15.579000000000001</c:v>
                </c:pt>
                <c:pt idx="224">
                  <c:v>15.365</c:v>
                </c:pt>
                <c:pt idx="225">
                  <c:v>15.4</c:v>
                </c:pt>
                <c:pt idx="226">
                  <c:v>15.175000000000001</c:v>
                </c:pt>
                <c:pt idx="227">
                  <c:v>15.125</c:v>
                </c:pt>
                <c:pt idx="228">
                  <c:v>14.637</c:v>
                </c:pt>
                <c:pt idx="229">
                  <c:v>14.709</c:v>
                </c:pt>
                <c:pt idx="230">
                  <c:v>14.494999999999999</c:v>
                </c:pt>
                <c:pt idx="231">
                  <c:v>14.808</c:v>
                </c:pt>
                <c:pt idx="232">
                  <c:v>14.787000000000001</c:v>
                </c:pt>
                <c:pt idx="233">
                  <c:v>13.824999999999999</c:v>
                </c:pt>
                <c:pt idx="234">
                  <c:v>14.01</c:v>
                </c:pt>
                <c:pt idx="235">
                  <c:v>14.034000000000001</c:v>
                </c:pt>
                <c:pt idx="236">
                  <c:v>13.89</c:v>
                </c:pt>
                <c:pt idx="237">
                  <c:v>14.157</c:v>
                </c:pt>
                <c:pt idx="238">
                  <c:v>14.266999999999999</c:v>
                </c:pt>
                <c:pt idx="239">
                  <c:v>13.567</c:v>
                </c:pt>
                <c:pt idx="240">
                  <c:v>14.303000000000001</c:v>
                </c:pt>
                <c:pt idx="241">
                  <c:v>15.164</c:v>
                </c:pt>
                <c:pt idx="242">
                  <c:v>15.212999999999999</c:v>
                </c:pt>
                <c:pt idx="243">
                  <c:v>15.766</c:v>
                </c:pt>
                <c:pt idx="244">
                  <c:v>15.734</c:v>
                </c:pt>
                <c:pt idx="245">
                  <c:v>15.7</c:v>
                </c:pt>
                <c:pt idx="246">
                  <c:v>15.500999999999999</c:v>
                </c:pt>
                <c:pt idx="247">
                  <c:v>16.27</c:v>
                </c:pt>
                <c:pt idx="248">
                  <c:v>16.251999999999999</c:v>
                </c:pt>
                <c:pt idx="249">
                  <c:v>16.701000000000001</c:v>
                </c:pt>
                <c:pt idx="250">
                  <c:v>17.113</c:v>
                </c:pt>
                <c:pt idx="251">
                  <c:v>17.571000000000002</c:v>
                </c:pt>
                <c:pt idx="252">
                  <c:v>17.527000000000001</c:v>
                </c:pt>
                <c:pt idx="253">
                  <c:v>17.515999999999998</c:v>
                </c:pt>
                <c:pt idx="254">
                  <c:v>17.350000000000001</c:v>
                </c:pt>
                <c:pt idx="255">
                  <c:v>17.48</c:v>
                </c:pt>
                <c:pt idx="256">
                  <c:v>17.905999999999999</c:v>
                </c:pt>
                <c:pt idx="257">
                  <c:v>17.914999999999999</c:v>
                </c:pt>
                <c:pt idx="258">
                  <c:v>17.791</c:v>
                </c:pt>
                <c:pt idx="259">
                  <c:v>17.774999999999999</c:v>
                </c:pt>
                <c:pt idx="260">
                  <c:v>18.783999999999999</c:v>
                </c:pt>
                <c:pt idx="261">
                  <c:v>18.434999999999999</c:v>
                </c:pt>
                <c:pt idx="262">
                  <c:v>18.472000000000001</c:v>
                </c:pt>
                <c:pt idx="263">
                  <c:v>19.007999999999999</c:v>
                </c:pt>
                <c:pt idx="264">
                  <c:v>19.228000000000002</c:v>
                </c:pt>
                <c:pt idx="265">
                  <c:v>19.280999999999999</c:v>
                </c:pt>
                <c:pt idx="266">
                  <c:v>19.361000000000001</c:v>
                </c:pt>
                <c:pt idx="267">
                  <c:v>19.882999999999999</c:v>
                </c:pt>
                <c:pt idx="268">
                  <c:v>19.998999999999999</c:v>
                </c:pt>
                <c:pt idx="269">
                  <c:v>20.125</c:v>
                </c:pt>
                <c:pt idx="270">
                  <c:v>20.440000000000001</c:v>
                </c:pt>
                <c:pt idx="271">
                  <c:v>20.738</c:v>
                </c:pt>
                <c:pt idx="272">
                  <c:v>20.853999999999999</c:v>
                </c:pt>
                <c:pt idx="273">
                  <c:v>19.856999999999999</c:v>
                </c:pt>
                <c:pt idx="274">
                  <c:v>19.963000000000001</c:v>
                </c:pt>
                <c:pt idx="275">
                  <c:v>20.239999999999998</c:v>
                </c:pt>
                <c:pt idx="276">
                  <c:v>20.401</c:v>
                </c:pt>
                <c:pt idx="277">
                  <c:v>20.358000000000001</c:v>
                </c:pt>
                <c:pt idx="278">
                  <c:v>19.812000000000001</c:v>
                </c:pt>
                <c:pt idx="279">
                  <c:v>19.030999999999999</c:v>
                </c:pt>
                <c:pt idx="280">
                  <c:v>17.914999999999999</c:v>
                </c:pt>
                <c:pt idx="281">
                  <c:v>18.73</c:v>
                </c:pt>
                <c:pt idx="282">
                  <c:v>18.882000000000001</c:v>
                </c:pt>
                <c:pt idx="283">
                  <c:v>19.641999999999999</c:v>
                </c:pt>
                <c:pt idx="284">
                  <c:v>19.655999999999999</c:v>
                </c:pt>
                <c:pt idx="285">
                  <c:v>19.311</c:v>
                </c:pt>
                <c:pt idx="286">
                  <c:v>19.265000000000001</c:v>
                </c:pt>
                <c:pt idx="287">
                  <c:v>19.318999999999999</c:v>
                </c:pt>
                <c:pt idx="288">
                  <c:v>19.518999999999998</c:v>
                </c:pt>
                <c:pt idx="289">
                  <c:v>19.417999999999999</c:v>
                </c:pt>
                <c:pt idx="290">
                  <c:v>19.7</c:v>
                </c:pt>
                <c:pt idx="291">
                  <c:v>19.739999999999998</c:v>
                </c:pt>
                <c:pt idx="292">
                  <c:v>19.989999999999998</c:v>
                </c:pt>
                <c:pt idx="293">
                  <c:v>20.5</c:v>
                </c:pt>
                <c:pt idx="294">
                  <c:v>20.524000000000001</c:v>
                </c:pt>
                <c:pt idx="295">
                  <c:v>20.446000000000002</c:v>
                </c:pt>
                <c:pt idx="296">
                  <c:v>20.321999999999999</c:v>
                </c:pt>
                <c:pt idx="297">
                  <c:v>20.042999999999999</c:v>
                </c:pt>
                <c:pt idx="298">
                  <c:v>19.87</c:v>
                </c:pt>
                <c:pt idx="299">
                  <c:v>19.905000000000001</c:v>
                </c:pt>
                <c:pt idx="300">
                  <c:v>20.135000000000002</c:v>
                </c:pt>
                <c:pt idx="301">
                  <c:v>19.684999999999999</c:v>
                </c:pt>
                <c:pt idx="302">
                  <c:v>19.5</c:v>
                </c:pt>
                <c:pt idx="303">
                  <c:v>19.494</c:v>
                </c:pt>
                <c:pt idx="304">
                  <c:v>19.991</c:v>
                </c:pt>
                <c:pt idx="305">
                  <c:v>20.971</c:v>
                </c:pt>
                <c:pt idx="306">
                  <c:v>21.753</c:v>
                </c:pt>
                <c:pt idx="307">
                  <c:v>21.736999999999998</c:v>
                </c:pt>
                <c:pt idx="308">
                  <c:v>22.2</c:v>
                </c:pt>
                <c:pt idx="309">
                  <c:v>22.184000000000001</c:v>
                </c:pt>
                <c:pt idx="310">
                  <c:v>22.83</c:v>
                </c:pt>
                <c:pt idx="311">
                  <c:v>22.695</c:v>
                </c:pt>
                <c:pt idx="312">
                  <c:v>22.484999999999999</c:v>
                </c:pt>
                <c:pt idx="313">
                  <c:v>22.518000000000001</c:v>
                </c:pt>
                <c:pt idx="314">
                  <c:v>22.324999999999999</c:v>
                </c:pt>
                <c:pt idx="315">
                  <c:v>22.832999999999998</c:v>
                </c:pt>
                <c:pt idx="316">
                  <c:v>22.513000000000002</c:v>
                </c:pt>
                <c:pt idx="317">
                  <c:v>22.312000000000001</c:v>
                </c:pt>
                <c:pt idx="318">
                  <c:v>22.347999999999999</c:v>
                </c:pt>
                <c:pt idx="319">
                  <c:v>22.684000000000001</c:v>
                </c:pt>
                <c:pt idx="320">
                  <c:v>22.274999999999999</c:v>
                </c:pt>
                <c:pt idx="321">
                  <c:v>22.309000000000001</c:v>
                </c:pt>
                <c:pt idx="322">
                  <c:v>22.183</c:v>
                </c:pt>
                <c:pt idx="323">
                  <c:v>22.3</c:v>
                </c:pt>
                <c:pt idx="324">
                  <c:v>21.146000000000001</c:v>
                </c:pt>
                <c:pt idx="325">
                  <c:v>21.417000000000002</c:v>
                </c:pt>
                <c:pt idx="326">
                  <c:v>21.366</c:v>
                </c:pt>
                <c:pt idx="327">
                  <c:v>22.14</c:v>
                </c:pt>
                <c:pt idx="328">
                  <c:v>22.07</c:v>
                </c:pt>
                <c:pt idx="329">
                  <c:v>21.71</c:v>
                </c:pt>
                <c:pt idx="330">
                  <c:v>21.213999999999999</c:v>
                </c:pt>
                <c:pt idx="331">
                  <c:v>20.94</c:v>
                </c:pt>
                <c:pt idx="332">
                  <c:v>20.768000000000001</c:v>
                </c:pt>
                <c:pt idx="333">
                  <c:v>20.75</c:v>
                </c:pt>
                <c:pt idx="334">
                  <c:v>20.504000000000001</c:v>
                </c:pt>
                <c:pt idx="335">
                  <c:v>19.95</c:v>
                </c:pt>
                <c:pt idx="336">
                  <c:v>20.12</c:v>
                </c:pt>
                <c:pt idx="337">
                  <c:v>21.091999999999999</c:v>
                </c:pt>
                <c:pt idx="338">
                  <c:v>21.100999999999999</c:v>
                </c:pt>
                <c:pt idx="339">
                  <c:v>20.574999999999999</c:v>
                </c:pt>
                <c:pt idx="340">
                  <c:v>20.827999999999999</c:v>
                </c:pt>
                <c:pt idx="341">
                  <c:v>20.917999999999999</c:v>
                </c:pt>
                <c:pt idx="342">
                  <c:v>21.288</c:v>
                </c:pt>
                <c:pt idx="343">
                  <c:v>21.81</c:v>
                </c:pt>
                <c:pt idx="344">
                  <c:v>21.748999999999999</c:v>
                </c:pt>
                <c:pt idx="345">
                  <c:v>22.276</c:v>
                </c:pt>
                <c:pt idx="346">
                  <c:v>22.305</c:v>
                </c:pt>
                <c:pt idx="347">
                  <c:v>22.097000000000001</c:v>
                </c:pt>
                <c:pt idx="348">
                  <c:v>22.823</c:v>
                </c:pt>
                <c:pt idx="349">
                  <c:v>22.972999999999999</c:v>
                </c:pt>
                <c:pt idx="350">
                  <c:v>23.989000000000001</c:v>
                </c:pt>
                <c:pt idx="351">
                  <c:v>24.474</c:v>
                </c:pt>
                <c:pt idx="352">
                  <c:v>24.878</c:v>
                </c:pt>
                <c:pt idx="353">
                  <c:v>25.001000000000001</c:v>
                </c:pt>
                <c:pt idx="354">
                  <c:v>25.649000000000001</c:v>
                </c:pt>
                <c:pt idx="355">
                  <c:v>25.821999999999999</c:v>
                </c:pt>
                <c:pt idx="356">
                  <c:v>26.67</c:v>
                </c:pt>
                <c:pt idx="357">
                  <c:v>27.228999999999999</c:v>
                </c:pt>
                <c:pt idx="358">
                  <c:v>30.187000000000001</c:v>
                </c:pt>
                <c:pt idx="359">
                  <c:v>30.149000000000001</c:v>
                </c:pt>
                <c:pt idx="360">
                  <c:v>32.281999999999996</c:v>
                </c:pt>
                <c:pt idx="361">
                  <c:v>29.356000000000002</c:v>
                </c:pt>
                <c:pt idx="362">
                  <c:v>30.468</c:v>
                </c:pt>
                <c:pt idx="363">
                  <c:v>30.01</c:v>
                </c:pt>
                <c:pt idx="364">
                  <c:v>30.552</c:v>
                </c:pt>
                <c:pt idx="365">
                  <c:v>29.759</c:v>
                </c:pt>
                <c:pt idx="366">
                  <c:v>30.417999999999999</c:v>
                </c:pt>
                <c:pt idx="367">
                  <c:v>32.366999999999997</c:v>
                </c:pt>
                <c:pt idx="368">
                  <c:v>32.243000000000002</c:v>
                </c:pt>
                <c:pt idx="369">
                  <c:v>33.517000000000003</c:v>
                </c:pt>
                <c:pt idx="370">
                  <c:v>31.535</c:v>
                </c:pt>
                <c:pt idx="371">
                  <c:v>31.460999999999999</c:v>
                </c:pt>
                <c:pt idx="372">
                  <c:v>32.6</c:v>
                </c:pt>
                <c:pt idx="373">
                  <c:v>32.366</c:v>
                </c:pt>
                <c:pt idx="374">
                  <c:v>33.168999999999997</c:v>
                </c:pt>
                <c:pt idx="375">
                  <c:v>33.219000000000001</c:v>
                </c:pt>
                <c:pt idx="376">
                  <c:v>31.213999999999999</c:v>
                </c:pt>
                <c:pt idx="377">
                  <c:v>32</c:v>
                </c:pt>
                <c:pt idx="378">
                  <c:v>29.88</c:v>
                </c:pt>
                <c:pt idx="379">
                  <c:v>30.957000000000001</c:v>
                </c:pt>
                <c:pt idx="380">
                  <c:v>31.998999999999999</c:v>
                </c:pt>
                <c:pt idx="381">
                  <c:v>31.734000000000002</c:v>
                </c:pt>
                <c:pt idx="382">
                  <c:v>31.15</c:v>
                </c:pt>
                <c:pt idx="383">
                  <c:v>30.248999999999999</c:v>
                </c:pt>
                <c:pt idx="384">
                  <c:v>27.699000000000002</c:v>
                </c:pt>
                <c:pt idx="385">
                  <c:v>28.4</c:v>
                </c:pt>
                <c:pt idx="386">
                  <c:v>31.152000000000001</c:v>
                </c:pt>
                <c:pt idx="387">
                  <c:v>27.984999999999999</c:v>
                </c:pt>
                <c:pt idx="388">
                  <c:v>27.305</c:v>
                </c:pt>
                <c:pt idx="389">
                  <c:v>28.373999999999999</c:v>
                </c:pt>
                <c:pt idx="390">
                  <c:v>28.890999999999998</c:v>
                </c:pt>
                <c:pt idx="391">
                  <c:v>29.754999999999999</c:v>
                </c:pt>
                <c:pt idx="392">
                  <c:v>29.66</c:v>
                </c:pt>
                <c:pt idx="393">
                  <c:v>31.312000000000001</c:v>
                </c:pt>
                <c:pt idx="394">
                  <c:v>30.273</c:v>
                </c:pt>
                <c:pt idx="395">
                  <c:v>29.827000000000002</c:v>
                </c:pt>
                <c:pt idx="396">
                  <c:v>29.673999999999999</c:v>
                </c:pt>
                <c:pt idx="397">
                  <c:v>29.815000000000001</c:v>
                </c:pt>
                <c:pt idx="398">
                  <c:v>30.277000000000001</c:v>
                </c:pt>
                <c:pt idx="399">
                  <c:v>28.949000000000002</c:v>
                </c:pt>
                <c:pt idx="400">
                  <c:v>27.64</c:v>
                </c:pt>
                <c:pt idx="401">
                  <c:v>28.140999999999998</c:v>
                </c:pt>
                <c:pt idx="402">
                  <c:v>26.581</c:v>
                </c:pt>
                <c:pt idx="403">
                  <c:v>27.323</c:v>
                </c:pt>
                <c:pt idx="404">
                  <c:v>28.067</c:v>
                </c:pt>
                <c:pt idx="405">
                  <c:v>28.379000000000001</c:v>
                </c:pt>
                <c:pt idx="406">
                  <c:v>26.3</c:v>
                </c:pt>
                <c:pt idx="407">
                  <c:v>26.26</c:v>
                </c:pt>
                <c:pt idx="408">
                  <c:v>26.079000000000001</c:v>
                </c:pt>
                <c:pt idx="409">
                  <c:v>25.303999999999998</c:v>
                </c:pt>
                <c:pt idx="410">
                  <c:v>23.507000000000001</c:v>
                </c:pt>
                <c:pt idx="411">
                  <c:v>22.33</c:v>
                </c:pt>
                <c:pt idx="412">
                  <c:v>22.545999999999999</c:v>
                </c:pt>
                <c:pt idx="413">
                  <c:v>23.24</c:v>
                </c:pt>
                <c:pt idx="414">
                  <c:v>23.568000000000001</c:v>
                </c:pt>
                <c:pt idx="415">
                  <c:v>22.012</c:v>
                </c:pt>
                <c:pt idx="416">
                  <c:v>23.181999999999999</c:v>
                </c:pt>
                <c:pt idx="417">
                  <c:v>25.103999999999999</c:v>
                </c:pt>
                <c:pt idx="418">
                  <c:v>25.794</c:v>
                </c:pt>
                <c:pt idx="419">
                  <c:v>24.457999999999998</c:v>
                </c:pt>
                <c:pt idx="420">
                  <c:v>23.972000000000001</c:v>
                </c:pt>
                <c:pt idx="421">
                  <c:v>24.372</c:v>
                </c:pt>
                <c:pt idx="422">
                  <c:v>24.359000000000002</c:v>
                </c:pt>
                <c:pt idx="423">
                  <c:v>25.622</c:v>
                </c:pt>
                <c:pt idx="424">
                  <c:v>25.995000000000001</c:v>
                </c:pt>
                <c:pt idx="425">
                  <c:v>25.916</c:v>
                </c:pt>
                <c:pt idx="426">
                  <c:v>23.934000000000001</c:v>
                </c:pt>
                <c:pt idx="427">
                  <c:v>24.266999999999999</c:v>
                </c:pt>
                <c:pt idx="428">
                  <c:v>26.259</c:v>
                </c:pt>
                <c:pt idx="429">
                  <c:v>25.63</c:v>
                </c:pt>
                <c:pt idx="430">
                  <c:v>24.667999999999999</c:v>
                </c:pt>
                <c:pt idx="431">
                  <c:v>23.035</c:v>
                </c:pt>
                <c:pt idx="432">
                  <c:v>23.802</c:v>
                </c:pt>
                <c:pt idx="433">
                  <c:v>21.015000000000001</c:v>
                </c:pt>
                <c:pt idx="434">
                  <c:v>23.721</c:v>
                </c:pt>
                <c:pt idx="435">
                  <c:v>23.992000000000001</c:v>
                </c:pt>
                <c:pt idx="436">
                  <c:v>24.291</c:v>
                </c:pt>
                <c:pt idx="437">
                  <c:v>23.756</c:v>
                </c:pt>
                <c:pt idx="438">
                  <c:v>24.262</c:v>
                </c:pt>
                <c:pt idx="439">
                  <c:v>23.384</c:v>
                </c:pt>
                <c:pt idx="440">
                  <c:v>22.817</c:v>
                </c:pt>
                <c:pt idx="441">
                  <c:v>21.309000000000001</c:v>
                </c:pt>
                <c:pt idx="442">
                  <c:v>22.387</c:v>
                </c:pt>
                <c:pt idx="443">
                  <c:v>22.530999999999999</c:v>
                </c:pt>
                <c:pt idx="444">
                  <c:v>23.021999999999998</c:v>
                </c:pt>
                <c:pt idx="445">
                  <c:v>21.869</c:v>
                </c:pt>
                <c:pt idx="446">
                  <c:v>21.518000000000001</c:v>
                </c:pt>
                <c:pt idx="447">
                  <c:v>23.5</c:v>
                </c:pt>
                <c:pt idx="448">
                  <c:v>24.12</c:v>
                </c:pt>
                <c:pt idx="449">
                  <c:v>24.798999999999999</c:v>
                </c:pt>
                <c:pt idx="450">
                  <c:v>26.507000000000001</c:v>
                </c:pt>
                <c:pt idx="451">
                  <c:v>26.727</c:v>
                </c:pt>
                <c:pt idx="452">
                  <c:v>26.126000000000001</c:v>
                </c:pt>
                <c:pt idx="453">
                  <c:v>26.166</c:v>
                </c:pt>
                <c:pt idx="454">
                  <c:v>27.885999999999999</c:v>
                </c:pt>
                <c:pt idx="455">
                  <c:v>27.756</c:v>
                </c:pt>
                <c:pt idx="456">
                  <c:v>28.695</c:v>
                </c:pt>
                <c:pt idx="457">
                  <c:v>28.303999999999998</c:v>
                </c:pt>
                <c:pt idx="458">
                  <c:v>27.782</c:v>
                </c:pt>
                <c:pt idx="459">
                  <c:v>27.375</c:v>
                </c:pt>
                <c:pt idx="460">
                  <c:v>26.728000000000002</c:v>
                </c:pt>
                <c:pt idx="461">
                  <c:v>27.254000000000001</c:v>
                </c:pt>
                <c:pt idx="462">
                  <c:v>24.934000000000001</c:v>
                </c:pt>
                <c:pt idx="463">
                  <c:v>24.440999999999999</c:v>
                </c:pt>
                <c:pt idx="464">
                  <c:v>23.917000000000002</c:v>
                </c:pt>
                <c:pt idx="465">
                  <c:v>22.213999999999999</c:v>
                </c:pt>
                <c:pt idx="466">
                  <c:v>22.536999999999999</c:v>
                </c:pt>
                <c:pt idx="467">
                  <c:v>21.728000000000002</c:v>
                </c:pt>
                <c:pt idx="468">
                  <c:v>22.504999999999999</c:v>
                </c:pt>
                <c:pt idx="469">
                  <c:v>21.2</c:v>
                </c:pt>
                <c:pt idx="470">
                  <c:v>21.72</c:v>
                </c:pt>
                <c:pt idx="471">
                  <c:v>22.516999999999999</c:v>
                </c:pt>
                <c:pt idx="472">
                  <c:v>21.709</c:v>
                </c:pt>
                <c:pt idx="473">
                  <c:v>20.303000000000001</c:v>
                </c:pt>
                <c:pt idx="474">
                  <c:v>19.202000000000002</c:v>
                </c:pt>
                <c:pt idx="475">
                  <c:v>19.718</c:v>
                </c:pt>
                <c:pt idx="476">
                  <c:v>18.597999999999999</c:v>
                </c:pt>
                <c:pt idx="477">
                  <c:v>18.966999999999999</c:v>
                </c:pt>
                <c:pt idx="478">
                  <c:v>19.402000000000001</c:v>
                </c:pt>
                <c:pt idx="479">
                  <c:v>18.541</c:v>
                </c:pt>
                <c:pt idx="480">
                  <c:v>19.399999999999999</c:v>
                </c:pt>
                <c:pt idx="481">
                  <c:v>19.922999999999998</c:v>
                </c:pt>
                <c:pt idx="482">
                  <c:v>19.867000000000001</c:v>
                </c:pt>
                <c:pt idx="483">
                  <c:v>18.736000000000001</c:v>
                </c:pt>
                <c:pt idx="484">
                  <c:v>18.033999999999999</c:v>
                </c:pt>
                <c:pt idx="485">
                  <c:v>17.689</c:v>
                </c:pt>
                <c:pt idx="486">
                  <c:v>17.347000000000001</c:v>
                </c:pt>
                <c:pt idx="487">
                  <c:v>16.219000000000001</c:v>
                </c:pt>
                <c:pt idx="488">
                  <c:v>16.788</c:v>
                </c:pt>
                <c:pt idx="489">
                  <c:v>17.509</c:v>
                </c:pt>
                <c:pt idx="490">
                  <c:v>18.074000000000002</c:v>
                </c:pt>
                <c:pt idx="491">
                  <c:v>17.704999999999998</c:v>
                </c:pt>
                <c:pt idx="492">
                  <c:v>16.937000000000001</c:v>
                </c:pt>
                <c:pt idx="493">
                  <c:v>17.332000000000001</c:v>
                </c:pt>
                <c:pt idx="494">
                  <c:v>16.274000000000001</c:v>
                </c:pt>
                <c:pt idx="495">
                  <c:v>16.510000000000002</c:v>
                </c:pt>
                <c:pt idx="496">
                  <c:v>16.02</c:v>
                </c:pt>
                <c:pt idx="497">
                  <c:v>16.036000000000001</c:v>
                </c:pt>
                <c:pt idx="498">
                  <c:v>18.186</c:v>
                </c:pt>
                <c:pt idx="499">
                  <c:v>18.98</c:v>
                </c:pt>
                <c:pt idx="500">
                  <c:v>18.724</c:v>
                </c:pt>
                <c:pt idx="501">
                  <c:v>18.292000000000002</c:v>
                </c:pt>
                <c:pt idx="502">
                  <c:v>19.082000000000001</c:v>
                </c:pt>
                <c:pt idx="503">
                  <c:v>19.138999999999999</c:v>
                </c:pt>
                <c:pt idx="504">
                  <c:v>18.472000000000001</c:v>
                </c:pt>
                <c:pt idx="505">
                  <c:v>18.798999999999999</c:v>
                </c:pt>
                <c:pt idx="506">
                  <c:v>18.481000000000002</c:v>
                </c:pt>
                <c:pt idx="507">
                  <c:v>17.600000000000001</c:v>
                </c:pt>
                <c:pt idx="508">
                  <c:v>16</c:v>
                </c:pt>
                <c:pt idx="509">
                  <c:v>15.731</c:v>
                </c:pt>
                <c:pt idx="510">
                  <c:v>16.094999999999999</c:v>
                </c:pt>
                <c:pt idx="511">
                  <c:v>15.86</c:v>
                </c:pt>
                <c:pt idx="512">
                  <c:v>15.648</c:v>
                </c:pt>
                <c:pt idx="513">
                  <c:v>16.475000000000001</c:v>
                </c:pt>
                <c:pt idx="514">
                  <c:v>16.225999999999999</c:v>
                </c:pt>
                <c:pt idx="515">
                  <c:v>16.518999999999998</c:v>
                </c:pt>
                <c:pt idx="516">
                  <c:v>16.5</c:v>
                </c:pt>
                <c:pt idx="517">
                  <c:v>17.312000000000001</c:v>
                </c:pt>
                <c:pt idx="518">
                  <c:v>16.899999999999999</c:v>
                </c:pt>
                <c:pt idx="519">
                  <c:v>15.814</c:v>
                </c:pt>
                <c:pt idx="520">
                  <c:v>15.361000000000001</c:v>
                </c:pt>
                <c:pt idx="521">
                  <c:v>14.898999999999999</c:v>
                </c:pt>
                <c:pt idx="522">
                  <c:v>14.175000000000001</c:v>
                </c:pt>
                <c:pt idx="523">
                  <c:v>15.01</c:v>
                </c:pt>
                <c:pt idx="524">
                  <c:v>15.456</c:v>
                </c:pt>
                <c:pt idx="525">
                  <c:v>15.43</c:v>
                </c:pt>
                <c:pt idx="526">
                  <c:v>15.526</c:v>
                </c:pt>
                <c:pt idx="527">
                  <c:v>15.268000000000001</c:v>
                </c:pt>
                <c:pt idx="528">
                  <c:v>14.59</c:v>
                </c:pt>
                <c:pt idx="529">
                  <c:v>15.108000000000001</c:v>
                </c:pt>
                <c:pt idx="530">
                  <c:v>15.659000000000001</c:v>
                </c:pt>
                <c:pt idx="531">
                  <c:v>16.302</c:v>
                </c:pt>
                <c:pt idx="532">
                  <c:v>16.486000000000001</c:v>
                </c:pt>
                <c:pt idx="533">
                  <c:v>16.946999999999999</c:v>
                </c:pt>
                <c:pt idx="534">
                  <c:v>17.885000000000002</c:v>
                </c:pt>
                <c:pt idx="535">
                  <c:v>17.893000000000001</c:v>
                </c:pt>
                <c:pt idx="536">
                  <c:v>17.018999999999998</c:v>
                </c:pt>
                <c:pt idx="537">
                  <c:v>16.888999999999999</c:v>
                </c:pt>
                <c:pt idx="538">
                  <c:v>17.032</c:v>
                </c:pt>
                <c:pt idx="539">
                  <c:v>17.975000000000001</c:v>
                </c:pt>
                <c:pt idx="540">
                  <c:v>17.812999999999999</c:v>
                </c:pt>
                <c:pt idx="541">
                  <c:v>18.181999999999999</c:v>
                </c:pt>
                <c:pt idx="542">
                  <c:v>18.122</c:v>
                </c:pt>
                <c:pt idx="543">
                  <c:v>18.184000000000001</c:v>
                </c:pt>
                <c:pt idx="544">
                  <c:v>18.849</c:v>
                </c:pt>
                <c:pt idx="545">
                  <c:v>18.809999999999999</c:v>
                </c:pt>
                <c:pt idx="546">
                  <c:v>17.501999999999999</c:v>
                </c:pt>
                <c:pt idx="547">
                  <c:v>17.251999999999999</c:v>
                </c:pt>
                <c:pt idx="548">
                  <c:v>17.698</c:v>
                </c:pt>
                <c:pt idx="549">
                  <c:v>18.131</c:v>
                </c:pt>
                <c:pt idx="550">
                  <c:v>18.16</c:v>
                </c:pt>
                <c:pt idx="551">
                  <c:v>18.701000000000001</c:v>
                </c:pt>
                <c:pt idx="552">
                  <c:v>18.920000000000002</c:v>
                </c:pt>
                <c:pt idx="553">
                  <c:v>18.523</c:v>
                </c:pt>
                <c:pt idx="554">
                  <c:v>18.300999999999998</c:v>
                </c:pt>
                <c:pt idx="555">
                  <c:v>18.405999999999999</c:v>
                </c:pt>
                <c:pt idx="556">
                  <c:v>17.489999999999998</c:v>
                </c:pt>
                <c:pt idx="557">
                  <c:v>16.989000000000001</c:v>
                </c:pt>
                <c:pt idx="558">
                  <c:v>17.012</c:v>
                </c:pt>
                <c:pt idx="559">
                  <c:v>16.844000000000001</c:v>
                </c:pt>
                <c:pt idx="560">
                  <c:v>17.856999999999999</c:v>
                </c:pt>
                <c:pt idx="561">
                  <c:v>16.02</c:v>
                </c:pt>
                <c:pt idx="562">
                  <c:v>15.96</c:v>
                </c:pt>
                <c:pt idx="563">
                  <c:v>15.384</c:v>
                </c:pt>
                <c:pt idx="564">
                  <c:v>14.209</c:v>
                </c:pt>
                <c:pt idx="565">
                  <c:v>14.1</c:v>
                </c:pt>
                <c:pt idx="566">
                  <c:v>13.731</c:v>
                </c:pt>
                <c:pt idx="567">
                  <c:v>13.563000000000001</c:v>
                </c:pt>
                <c:pt idx="568">
                  <c:v>13.459</c:v>
                </c:pt>
                <c:pt idx="569">
                  <c:v>14.157</c:v>
                </c:pt>
                <c:pt idx="570">
                  <c:v>14.369</c:v>
                </c:pt>
                <c:pt idx="571">
                  <c:v>13.802</c:v>
                </c:pt>
                <c:pt idx="572">
                  <c:v>13.254</c:v>
                </c:pt>
                <c:pt idx="573">
                  <c:v>13.015000000000001</c:v>
                </c:pt>
                <c:pt idx="574">
                  <c:v>12.742000000000001</c:v>
                </c:pt>
                <c:pt idx="575">
                  <c:v>13.012</c:v>
                </c:pt>
                <c:pt idx="576">
                  <c:v>13.215</c:v>
                </c:pt>
                <c:pt idx="577">
                  <c:v>13.212999999999999</c:v>
                </c:pt>
                <c:pt idx="578">
                  <c:v>13.07</c:v>
                </c:pt>
                <c:pt idx="579">
                  <c:v>12.42</c:v>
                </c:pt>
                <c:pt idx="580">
                  <c:v>12.491</c:v>
                </c:pt>
                <c:pt idx="581">
                  <c:v>12.507</c:v>
                </c:pt>
                <c:pt idx="582">
                  <c:v>12.41</c:v>
                </c:pt>
                <c:pt idx="583">
                  <c:v>12.448</c:v>
                </c:pt>
                <c:pt idx="584">
                  <c:v>12.087</c:v>
                </c:pt>
                <c:pt idx="585">
                  <c:v>12.347</c:v>
                </c:pt>
                <c:pt idx="586">
                  <c:v>12.879</c:v>
                </c:pt>
                <c:pt idx="587">
                  <c:v>12.911</c:v>
                </c:pt>
                <c:pt idx="588">
                  <c:v>13.22</c:v>
                </c:pt>
                <c:pt idx="589">
                  <c:v>12.505000000000001</c:v>
                </c:pt>
                <c:pt idx="590">
                  <c:v>12.037000000000001</c:v>
                </c:pt>
                <c:pt idx="591">
                  <c:v>11.561</c:v>
                </c:pt>
                <c:pt idx="592">
                  <c:v>11.579000000000001</c:v>
                </c:pt>
                <c:pt idx="593">
                  <c:v>10.971</c:v>
                </c:pt>
                <c:pt idx="594">
                  <c:v>12.057</c:v>
                </c:pt>
                <c:pt idx="595">
                  <c:v>11.518000000000001</c:v>
                </c:pt>
                <c:pt idx="596">
                  <c:v>12.343999999999999</c:v>
                </c:pt>
                <c:pt idx="597">
                  <c:v>11.879</c:v>
                </c:pt>
                <c:pt idx="598">
                  <c:v>12.113</c:v>
                </c:pt>
                <c:pt idx="599">
                  <c:v>12.098000000000001</c:v>
                </c:pt>
                <c:pt idx="600">
                  <c:v>12.507999999999999</c:v>
                </c:pt>
                <c:pt idx="601">
                  <c:v>12.694000000000001</c:v>
                </c:pt>
                <c:pt idx="602">
                  <c:v>12.869</c:v>
                </c:pt>
                <c:pt idx="603">
                  <c:v>13.63</c:v>
                </c:pt>
                <c:pt idx="604">
                  <c:v>13.103999999999999</c:v>
                </c:pt>
                <c:pt idx="605">
                  <c:v>13.778</c:v>
                </c:pt>
                <c:pt idx="606">
                  <c:v>13.811</c:v>
                </c:pt>
                <c:pt idx="607">
                  <c:v>13.85</c:v>
                </c:pt>
                <c:pt idx="608">
                  <c:v>13.042999999999999</c:v>
                </c:pt>
                <c:pt idx="609">
                  <c:v>13.986000000000001</c:v>
                </c:pt>
                <c:pt idx="610">
                  <c:v>14.228</c:v>
                </c:pt>
                <c:pt idx="611">
                  <c:v>14.801</c:v>
                </c:pt>
                <c:pt idx="612">
                  <c:v>14.162000000000001</c:v>
                </c:pt>
                <c:pt idx="613">
                  <c:v>14.8</c:v>
                </c:pt>
                <c:pt idx="614">
                  <c:v>15.808</c:v>
                </c:pt>
                <c:pt idx="615">
                  <c:v>16.218</c:v>
                </c:pt>
                <c:pt idx="616">
                  <c:v>16.722000000000001</c:v>
                </c:pt>
                <c:pt idx="617">
                  <c:v>16.161999999999999</c:v>
                </c:pt>
                <c:pt idx="618">
                  <c:v>15.715</c:v>
                </c:pt>
                <c:pt idx="619">
                  <c:v>15.965999999999999</c:v>
                </c:pt>
                <c:pt idx="620">
                  <c:v>15.147</c:v>
                </c:pt>
                <c:pt idx="621">
                  <c:v>15.327999999999999</c:v>
                </c:pt>
                <c:pt idx="622">
                  <c:v>16.097999999999999</c:v>
                </c:pt>
                <c:pt idx="623">
                  <c:v>16.318000000000001</c:v>
                </c:pt>
                <c:pt idx="624">
                  <c:v>16.026</c:v>
                </c:pt>
                <c:pt idx="625">
                  <c:v>15.827</c:v>
                </c:pt>
                <c:pt idx="626">
                  <c:v>15.696999999999999</c:v>
                </c:pt>
                <c:pt idx="627">
                  <c:v>16.998999999999999</c:v>
                </c:pt>
                <c:pt idx="628">
                  <c:v>16.658999999999999</c:v>
                </c:pt>
                <c:pt idx="629">
                  <c:v>16.678999999999998</c:v>
                </c:pt>
                <c:pt idx="630">
                  <c:v>16.53</c:v>
                </c:pt>
                <c:pt idx="631">
                  <c:v>15.772</c:v>
                </c:pt>
                <c:pt idx="632">
                  <c:v>16.273</c:v>
                </c:pt>
                <c:pt idx="633">
                  <c:v>17.16</c:v>
                </c:pt>
                <c:pt idx="634">
                  <c:v>17.036999999999999</c:v>
                </c:pt>
                <c:pt idx="635">
                  <c:v>18.530999999999999</c:v>
                </c:pt>
                <c:pt idx="636">
                  <c:v>17.986999999999998</c:v>
                </c:pt>
                <c:pt idx="637">
                  <c:v>17.146000000000001</c:v>
                </c:pt>
                <c:pt idx="638">
                  <c:v>16.864000000000001</c:v>
                </c:pt>
                <c:pt idx="639">
                  <c:v>16.571999999999999</c:v>
                </c:pt>
                <c:pt idx="640">
                  <c:v>16.064</c:v>
                </c:pt>
                <c:pt idx="641">
                  <c:v>16.114000000000001</c:v>
                </c:pt>
                <c:pt idx="642">
                  <c:v>16.094000000000001</c:v>
                </c:pt>
                <c:pt idx="643">
                  <c:v>15.196</c:v>
                </c:pt>
                <c:pt idx="644">
                  <c:v>15.074</c:v>
                </c:pt>
                <c:pt idx="645">
                  <c:v>13.927</c:v>
                </c:pt>
                <c:pt idx="646">
                  <c:v>14.401999999999999</c:v>
                </c:pt>
                <c:pt idx="647">
                  <c:v>14.334</c:v>
                </c:pt>
                <c:pt idx="648">
                  <c:v>14.851000000000001</c:v>
                </c:pt>
                <c:pt idx="649">
                  <c:v>14.567</c:v>
                </c:pt>
                <c:pt idx="650">
                  <c:v>14.491</c:v>
                </c:pt>
                <c:pt idx="651">
                  <c:v>14.474</c:v>
                </c:pt>
                <c:pt idx="652">
                  <c:v>15.284000000000001</c:v>
                </c:pt>
                <c:pt idx="653">
                  <c:v>15.507</c:v>
                </c:pt>
                <c:pt idx="654">
                  <c:v>15.84</c:v>
                </c:pt>
                <c:pt idx="655">
                  <c:v>16.100000000000001</c:v>
                </c:pt>
                <c:pt idx="656">
                  <c:v>16.277999999999999</c:v>
                </c:pt>
                <c:pt idx="657">
                  <c:v>16.899000000000001</c:v>
                </c:pt>
                <c:pt idx="658">
                  <c:v>17.667000000000002</c:v>
                </c:pt>
                <c:pt idx="659">
                  <c:v>17.036000000000001</c:v>
                </c:pt>
                <c:pt idx="660">
                  <c:v>17.010999999999999</c:v>
                </c:pt>
                <c:pt idx="661">
                  <c:v>18.064</c:v>
                </c:pt>
                <c:pt idx="662">
                  <c:v>18.827000000000002</c:v>
                </c:pt>
                <c:pt idx="663">
                  <c:v>18.913</c:v>
                </c:pt>
                <c:pt idx="664">
                  <c:v>19.701000000000001</c:v>
                </c:pt>
                <c:pt idx="665">
                  <c:v>19.462</c:v>
                </c:pt>
                <c:pt idx="666">
                  <c:v>19.95</c:v>
                </c:pt>
                <c:pt idx="667">
                  <c:v>19.170000000000002</c:v>
                </c:pt>
                <c:pt idx="668">
                  <c:v>19.690999999999999</c:v>
                </c:pt>
                <c:pt idx="669">
                  <c:v>21</c:v>
                </c:pt>
                <c:pt idx="670">
                  <c:v>21</c:v>
                </c:pt>
                <c:pt idx="671">
                  <c:v>20.806000000000001</c:v>
                </c:pt>
                <c:pt idx="672">
                  <c:v>21.382000000000001</c:v>
                </c:pt>
                <c:pt idx="673">
                  <c:v>22.387</c:v>
                </c:pt>
                <c:pt idx="674">
                  <c:v>22.606000000000002</c:v>
                </c:pt>
                <c:pt idx="675">
                  <c:v>21.69</c:v>
                </c:pt>
                <c:pt idx="676">
                  <c:v>21.538</c:v>
                </c:pt>
                <c:pt idx="677">
                  <c:v>21.577999999999999</c:v>
                </c:pt>
                <c:pt idx="678">
                  <c:v>22.548999999999999</c:v>
                </c:pt>
                <c:pt idx="679">
                  <c:v>22.132999999999999</c:v>
                </c:pt>
                <c:pt idx="680">
                  <c:v>21.631</c:v>
                </c:pt>
                <c:pt idx="681">
                  <c:v>21</c:v>
                </c:pt>
                <c:pt idx="682">
                  <c:v>20.707000000000001</c:v>
                </c:pt>
                <c:pt idx="683">
                  <c:v>23.44</c:v>
                </c:pt>
                <c:pt idx="684">
                  <c:v>23.225000000000001</c:v>
                </c:pt>
                <c:pt idx="685">
                  <c:v>23.67</c:v>
                </c:pt>
                <c:pt idx="686">
                  <c:v>23.372</c:v>
                </c:pt>
                <c:pt idx="687">
                  <c:v>23.192</c:v>
                </c:pt>
                <c:pt idx="688">
                  <c:v>22.488</c:v>
                </c:pt>
                <c:pt idx="689">
                  <c:v>23.32</c:v>
                </c:pt>
                <c:pt idx="690">
                  <c:v>23.890999999999998</c:v>
                </c:pt>
                <c:pt idx="691">
                  <c:v>23.6</c:v>
                </c:pt>
                <c:pt idx="692">
                  <c:v>23.486999999999998</c:v>
                </c:pt>
                <c:pt idx="693">
                  <c:v>24.175000000000001</c:v>
                </c:pt>
                <c:pt idx="694">
                  <c:v>23.408999999999999</c:v>
                </c:pt>
                <c:pt idx="695">
                  <c:v>22.751999999999999</c:v>
                </c:pt>
                <c:pt idx="696">
                  <c:v>23.495999999999999</c:v>
                </c:pt>
                <c:pt idx="697">
                  <c:v>23.760999999999999</c:v>
                </c:pt>
                <c:pt idx="698">
                  <c:v>24.027000000000001</c:v>
                </c:pt>
                <c:pt idx="699">
                  <c:v>25.981999999999999</c:v>
                </c:pt>
                <c:pt idx="700">
                  <c:v>25.614999999999998</c:v>
                </c:pt>
                <c:pt idx="701">
                  <c:v>26.18</c:v>
                </c:pt>
                <c:pt idx="702">
                  <c:v>26.425000000000001</c:v>
                </c:pt>
                <c:pt idx="703">
                  <c:v>27.116</c:v>
                </c:pt>
                <c:pt idx="704">
                  <c:v>27.030999999999999</c:v>
                </c:pt>
                <c:pt idx="705">
                  <c:v>26.837</c:v>
                </c:pt>
                <c:pt idx="706">
                  <c:v>26.446999999999999</c:v>
                </c:pt>
                <c:pt idx="707">
                  <c:v>26.824999999999999</c:v>
                </c:pt>
                <c:pt idx="708">
                  <c:v>27.228999999999999</c:v>
                </c:pt>
                <c:pt idx="709">
                  <c:v>27.14</c:v>
                </c:pt>
                <c:pt idx="710">
                  <c:v>27.509</c:v>
                </c:pt>
                <c:pt idx="711">
                  <c:v>27.966000000000001</c:v>
                </c:pt>
                <c:pt idx="712">
                  <c:v>26.829000000000001</c:v>
                </c:pt>
                <c:pt idx="713">
                  <c:v>26.584</c:v>
                </c:pt>
                <c:pt idx="714">
                  <c:v>26.823</c:v>
                </c:pt>
                <c:pt idx="715">
                  <c:v>27.724</c:v>
                </c:pt>
                <c:pt idx="716">
                  <c:v>27.37</c:v>
                </c:pt>
                <c:pt idx="717">
                  <c:v>26.734000000000002</c:v>
                </c:pt>
                <c:pt idx="718">
                  <c:v>26.504000000000001</c:v>
                </c:pt>
                <c:pt idx="719">
                  <c:v>26.565999999999999</c:v>
                </c:pt>
                <c:pt idx="720">
                  <c:v>27.533999999999999</c:v>
                </c:pt>
                <c:pt idx="721">
                  <c:v>27.361000000000001</c:v>
                </c:pt>
                <c:pt idx="722">
                  <c:v>27.670999999999999</c:v>
                </c:pt>
                <c:pt idx="723">
                  <c:v>26.952000000000002</c:v>
                </c:pt>
                <c:pt idx="724">
                  <c:v>27.013000000000002</c:v>
                </c:pt>
                <c:pt idx="725">
                  <c:v>27.077999999999999</c:v>
                </c:pt>
                <c:pt idx="726">
                  <c:v>27.001999999999999</c:v>
                </c:pt>
                <c:pt idx="727">
                  <c:v>27.363</c:v>
                </c:pt>
                <c:pt idx="728">
                  <c:v>27.225000000000001</c:v>
                </c:pt>
                <c:pt idx="729">
                  <c:v>27.84</c:v>
                </c:pt>
                <c:pt idx="730">
                  <c:v>28.68</c:v>
                </c:pt>
                <c:pt idx="731">
                  <c:v>27.84</c:v>
                </c:pt>
                <c:pt idx="732">
                  <c:v>27.651</c:v>
                </c:pt>
                <c:pt idx="733">
                  <c:v>27.826000000000001</c:v>
                </c:pt>
                <c:pt idx="734">
                  <c:v>28.521999999999998</c:v>
                </c:pt>
                <c:pt idx="735">
                  <c:v>28.899000000000001</c:v>
                </c:pt>
                <c:pt idx="736">
                  <c:v>29.004999999999999</c:v>
                </c:pt>
                <c:pt idx="737">
                  <c:v>28.896000000000001</c:v>
                </c:pt>
                <c:pt idx="738">
                  <c:v>28.529</c:v>
                </c:pt>
                <c:pt idx="739">
                  <c:v>28.509</c:v>
                </c:pt>
                <c:pt idx="740">
                  <c:v>28.841000000000001</c:v>
                </c:pt>
                <c:pt idx="741">
                  <c:v>29.584</c:v>
                </c:pt>
                <c:pt idx="742">
                  <c:v>30.41</c:v>
                </c:pt>
                <c:pt idx="743">
                  <c:v>31.536000000000001</c:v>
                </c:pt>
                <c:pt idx="744">
                  <c:v>30.901</c:v>
                </c:pt>
                <c:pt idx="745">
                  <c:v>31</c:v>
                </c:pt>
                <c:pt idx="746">
                  <c:v>30.21</c:v>
                </c:pt>
                <c:pt idx="747">
                  <c:v>38.523000000000003</c:v>
                </c:pt>
                <c:pt idx="748">
                  <c:v>37.89</c:v>
                </c:pt>
                <c:pt idx="749">
                  <c:v>40.594999999999999</c:v>
                </c:pt>
                <c:pt idx="750">
                  <c:v>39.488</c:v>
                </c:pt>
                <c:pt idx="751">
                  <c:v>38.488999999999997</c:v>
                </c:pt>
                <c:pt idx="752">
                  <c:v>40.097000000000001</c:v>
                </c:pt>
                <c:pt idx="753">
                  <c:v>38.908999999999999</c:v>
                </c:pt>
                <c:pt idx="754">
                  <c:v>38.83</c:v>
                </c:pt>
                <c:pt idx="755">
                  <c:v>38.914999999999999</c:v>
                </c:pt>
                <c:pt idx="756">
                  <c:v>37.723999999999997</c:v>
                </c:pt>
                <c:pt idx="757">
                  <c:v>39.036999999999999</c:v>
                </c:pt>
                <c:pt idx="758">
                  <c:v>39.200000000000003</c:v>
                </c:pt>
                <c:pt idx="759">
                  <c:v>40.186</c:v>
                </c:pt>
                <c:pt idx="760">
                  <c:v>40.823999999999998</c:v>
                </c:pt>
                <c:pt idx="761">
                  <c:v>42.601999999999997</c:v>
                </c:pt>
                <c:pt idx="762">
                  <c:v>43.45</c:v>
                </c:pt>
                <c:pt idx="763">
                  <c:v>42.997999999999998</c:v>
                </c:pt>
                <c:pt idx="764">
                  <c:v>43.500999999999998</c:v>
                </c:pt>
                <c:pt idx="765">
                  <c:v>42.253</c:v>
                </c:pt>
                <c:pt idx="766">
                  <c:v>42.463999999999999</c:v>
                </c:pt>
                <c:pt idx="767">
                  <c:v>42.460999999999999</c:v>
                </c:pt>
                <c:pt idx="768">
                  <c:v>40.798999999999999</c:v>
                </c:pt>
                <c:pt idx="769">
                  <c:v>40.659999999999997</c:v>
                </c:pt>
                <c:pt idx="770">
                  <c:v>41.558</c:v>
                </c:pt>
                <c:pt idx="771">
                  <c:v>41.68</c:v>
                </c:pt>
                <c:pt idx="772">
                  <c:v>42.517000000000003</c:v>
                </c:pt>
                <c:pt idx="773">
                  <c:v>42.134999999999998</c:v>
                </c:pt>
                <c:pt idx="774">
                  <c:v>41.844000000000001</c:v>
                </c:pt>
                <c:pt idx="775">
                  <c:v>42.322000000000003</c:v>
                </c:pt>
                <c:pt idx="776">
                  <c:v>42.656999999999996</c:v>
                </c:pt>
                <c:pt idx="777">
                  <c:v>42.481000000000002</c:v>
                </c:pt>
                <c:pt idx="778">
                  <c:v>43.033000000000001</c:v>
                </c:pt>
                <c:pt idx="779">
                  <c:v>44.518000000000001</c:v>
                </c:pt>
                <c:pt idx="780">
                  <c:v>46.582999999999998</c:v>
                </c:pt>
                <c:pt idx="781">
                  <c:v>46.289000000000001</c:v>
                </c:pt>
                <c:pt idx="782">
                  <c:v>46.701000000000001</c:v>
                </c:pt>
                <c:pt idx="783">
                  <c:v>47.463999999999999</c:v>
                </c:pt>
                <c:pt idx="784">
                  <c:v>46.506999999999998</c:v>
                </c:pt>
                <c:pt idx="785">
                  <c:v>45.787999999999997</c:v>
                </c:pt>
                <c:pt idx="786">
                  <c:v>44.731000000000002</c:v>
                </c:pt>
                <c:pt idx="787">
                  <c:v>44.941000000000003</c:v>
                </c:pt>
                <c:pt idx="788">
                  <c:v>46.021000000000001</c:v>
                </c:pt>
                <c:pt idx="789">
                  <c:v>46.518999999999998</c:v>
                </c:pt>
                <c:pt idx="790">
                  <c:v>46.667999999999999</c:v>
                </c:pt>
                <c:pt idx="791">
                  <c:v>46.753999999999998</c:v>
                </c:pt>
                <c:pt idx="792">
                  <c:v>46.46</c:v>
                </c:pt>
                <c:pt idx="793">
                  <c:v>45.831000000000003</c:v>
                </c:pt>
                <c:pt idx="794">
                  <c:v>43.8</c:v>
                </c:pt>
                <c:pt idx="795">
                  <c:v>44.984999999999999</c:v>
                </c:pt>
                <c:pt idx="796">
                  <c:v>45.110999999999997</c:v>
                </c:pt>
                <c:pt idx="797">
                  <c:v>44.853000000000002</c:v>
                </c:pt>
                <c:pt idx="798">
                  <c:v>44.274000000000001</c:v>
                </c:pt>
                <c:pt idx="799">
                  <c:v>42.16</c:v>
                </c:pt>
                <c:pt idx="800">
                  <c:v>41.750999999999998</c:v>
                </c:pt>
                <c:pt idx="801">
                  <c:v>40.485999999999997</c:v>
                </c:pt>
                <c:pt idx="802">
                  <c:v>44.56</c:v>
                </c:pt>
                <c:pt idx="803">
                  <c:v>44.52</c:v>
                </c:pt>
                <c:pt idx="804">
                  <c:v>43.97</c:v>
                </c:pt>
                <c:pt idx="805">
                  <c:v>42.634999999999998</c:v>
                </c:pt>
                <c:pt idx="806">
                  <c:v>44.494</c:v>
                </c:pt>
                <c:pt idx="807">
                  <c:v>48.134999999999998</c:v>
                </c:pt>
                <c:pt idx="808">
                  <c:v>45.866</c:v>
                </c:pt>
                <c:pt idx="809">
                  <c:v>50.216000000000001</c:v>
                </c:pt>
                <c:pt idx="810">
                  <c:v>47.012</c:v>
                </c:pt>
                <c:pt idx="811">
                  <c:v>46.481999999999999</c:v>
                </c:pt>
                <c:pt idx="812">
                  <c:v>46.665999999999997</c:v>
                </c:pt>
                <c:pt idx="813">
                  <c:v>49.043999999999997</c:v>
                </c:pt>
                <c:pt idx="814">
                  <c:v>49.38</c:v>
                </c:pt>
                <c:pt idx="815">
                  <c:v>49.762</c:v>
                </c:pt>
                <c:pt idx="816">
                  <c:v>48.222999999999999</c:v>
                </c:pt>
                <c:pt idx="817">
                  <c:v>48.441000000000003</c:v>
                </c:pt>
                <c:pt idx="818">
                  <c:v>45.524999999999999</c:v>
                </c:pt>
                <c:pt idx="819">
                  <c:v>45.942</c:v>
                </c:pt>
                <c:pt idx="820">
                  <c:v>46.148000000000003</c:v>
                </c:pt>
                <c:pt idx="821">
                  <c:v>44.738</c:v>
                </c:pt>
                <c:pt idx="822">
                  <c:v>44.6</c:v>
                </c:pt>
                <c:pt idx="823">
                  <c:v>45.95</c:v>
                </c:pt>
                <c:pt idx="824">
                  <c:v>45.341000000000001</c:v>
                </c:pt>
                <c:pt idx="825">
                  <c:v>42.747999999999998</c:v>
                </c:pt>
                <c:pt idx="826">
                  <c:v>43.832999999999998</c:v>
                </c:pt>
                <c:pt idx="827">
                  <c:v>43.6</c:v>
                </c:pt>
                <c:pt idx="828">
                  <c:v>41.582999999999998</c:v>
                </c:pt>
                <c:pt idx="829">
                  <c:v>41.572000000000003</c:v>
                </c:pt>
                <c:pt idx="830">
                  <c:v>41.591000000000001</c:v>
                </c:pt>
                <c:pt idx="831">
                  <c:v>42.000999999999998</c:v>
                </c:pt>
                <c:pt idx="832">
                  <c:v>42.33</c:v>
                </c:pt>
                <c:pt idx="833">
                  <c:v>42.46</c:v>
                </c:pt>
                <c:pt idx="834">
                  <c:v>43.826999999999998</c:v>
                </c:pt>
                <c:pt idx="835">
                  <c:v>44.03</c:v>
                </c:pt>
                <c:pt idx="836">
                  <c:v>44.808</c:v>
                </c:pt>
                <c:pt idx="837">
                  <c:v>43.741999999999997</c:v>
                </c:pt>
                <c:pt idx="838">
                  <c:v>44.05</c:v>
                </c:pt>
                <c:pt idx="839">
                  <c:v>44.192999999999998</c:v>
                </c:pt>
                <c:pt idx="840">
                  <c:v>44.841999999999999</c:v>
                </c:pt>
                <c:pt idx="841">
                  <c:v>45.31</c:v>
                </c:pt>
                <c:pt idx="842">
                  <c:v>46.195999999999998</c:v>
                </c:pt>
                <c:pt idx="843">
                  <c:v>46.777000000000001</c:v>
                </c:pt>
                <c:pt idx="844">
                  <c:v>46.96</c:v>
                </c:pt>
                <c:pt idx="845">
                  <c:v>45.063000000000002</c:v>
                </c:pt>
                <c:pt idx="846">
                  <c:v>44</c:v>
                </c:pt>
                <c:pt idx="847">
                  <c:v>42.591000000000001</c:v>
                </c:pt>
                <c:pt idx="848">
                  <c:v>42.811</c:v>
                </c:pt>
                <c:pt idx="849">
                  <c:v>41.89</c:v>
                </c:pt>
                <c:pt idx="850">
                  <c:v>41.228999999999999</c:v>
                </c:pt>
                <c:pt idx="851">
                  <c:v>43.076999999999998</c:v>
                </c:pt>
                <c:pt idx="852">
                  <c:v>43.398000000000003</c:v>
                </c:pt>
                <c:pt idx="853">
                  <c:v>41.853000000000002</c:v>
                </c:pt>
                <c:pt idx="854">
                  <c:v>41.13</c:v>
                </c:pt>
                <c:pt idx="855">
                  <c:v>41.087000000000003</c:v>
                </c:pt>
                <c:pt idx="856">
                  <c:v>40.450000000000003</c:v>
                </c:pt>
                <c:pt idx="857">
                  <c:v>40.884</c:v>
                </c:pt>
                <c:pt idx="858">
                  <c:v>43.328000000000003</c:v>
                </c:pt>
                <c:pt idx="859">
                  <c:v>44.02</c:v>
                </c:pt>
                <c:pt idx="860">
                  <c:v>45.284999999999997</c:v>
                </c:pt>
                <c:pt idx="861">
                  <c:v>45.719000000000001</c:v>
                </c:pt>
                <c:pt idx="862">
                  <c:v>46.1</c:v>
                </c:pt>
                <c:pt idx="863">
                  <c:v>46.573999999999998</c:v>
                </c:pt>
                <c:pt idx="864">
                  <c:v>47.5</c:v>
                </c:pt>
                <c:pt idx="865">
                  <c:v>48.32</c:v>
                </c:pt>
                <c:pt idx="866">
                  <c:v>49.68</c:v>
                </c:pt>
                <c:pt idx="867">
                  <c:v>49.935000000000002</c:v>
                </c:pt>
                <c:pt idx="868">
                  <c:v>48.679000000000002</c:v>
                </c:pt>
                <c:pt idx="869">
                  <c:v>49.524000000000001</c:v>
                </c:pt>
                <c:pt idx="870">
                  <c:v>49.311999999999998</c:v>
                </c:pt>
                <c:pt idx="871">
                  <c:v>50.125999999999998</c:v>
                </c:pt>
                <c:pt idx="872">
                  <c:v>49.851999999999997</c:v>
                </c:pt>
                <c:pt idx="873">
                  <c:v>48.47</c:v>
                </c:pt>
                <c:pt idx="874">
                  <c:v>47.8</c:v>
                </c:pt>
                <c:pt idx="875">
                  <c:v>48.235999999999997</c:v>
                </c:pt>
                <c:pt idx="876">
                  <c:v>48.378999999999998</c:v>
                </c:pt>
                <c:pt idx="877">
                  <c:v>48.024000000000001</c:v>
                </c:pt>
                <c:pt idx="878">
                  <c:v>46.524999999999999</c:v>
                </c:pt>
                <c:pt idx="879">
                  <c:v>46.076999999999998</c:v>
                </c:pt>
                <c:pt idx="880">
                  <c:v>45.466000000000001</c:v>
                </c:pt>
                <c:pt idx="881">
                  <c:v>47.215000000000003</c:v>
                </c:pt>
                <c:pt idx="882">
                  <c:v>45.7</c:v>
                </c:pt>
                <c:pt idx="883">
                  <c:v>46.594999999999999</c:v>
                </c:pt>
                <c:pt idx="884">
                  <c:v>47.491</c:v>
                </c:pt>
                <c:pt idx="885">
                  <c:v>46.045999999999999</c:v>
                </c:pt>
                <c:pt idx="886">
                  <c:v>47.628999999999998</c:v>
                </c:pt>
                <c:pt idx="887">
                  <c:v>48.39</c:v>
                </c:pt>
                <c:pt idx="888">
                  <c:v>48.194000000000003</c:v>
                </c:pt>
                <c:pt idx="889">
                  <c:v>49.4</c:v>
                </c:pt>
                <c:pt idx="890">
                  <c:v>49.423999999999999</c:v>
                </c:pt>
                <c:pt idx="891">
                  <c:v>49.655000000000001</c:v>
                </c:pt>
                <c:pt idx="892">
                  <c:v>48.811</c:v>
                </c:pt>
                <c:pt idx="893">
                  <c:v>49.195</c:v>
                </c:pt>
                <c:pt idx="894">
                  <c:v>48.968000000000004</c:v>
                </c:pt>
                <c:pt idx="895">
                  <c:v>49.511000000000003</c:v>
                </c:pt>
                <c:pt idx="896">
                  <c:v>49.643000000000001</c:v>
                </c:pt>
                <c:pt idx="897">
                  <c:v>49.813000000000002</c:v>
                </c:pt>
                <c:pt idx="898">
                  <c:v>49.244</c:v>
                </c:pt>
                <c:pt idx="899">
                  <c:v>47.484999999999999</c:v>
                </c:pt>
                <c:pt idx="900">
                  <c:v>47.767000000000003</c:v>
                </c:pt>
                <c:pt idx="901">
                  <c:v>48.462000000000003</c:v>
                </c:pt>
                <c:pt idx="902">
                  <c:v>49.512</c:v>
                </c:pt>
                <c:pt idx="903">
                  <c:v>52.401000000000003</c:v>
                </c:pt>
                <c:pt idx="904">
                  <c:v>53.616</c:v>
                </c:pt>
                <c:pt idx="905">
                  <c:v>54.999000000000002</c:v>
                </c:pt>
                <c:pt idx="906">
                  <c:v>54.62</c:v>
                </c:pt>
                <c:pt idx="907">
                  <c:v>55.018000000000001</c:v>
                </c:pt>
                <c:pt idx="908">
                  <c:v>56.347000000000001</c:v>
                </c:pt>
                <c:pt idx="909">
                  <c:v>57.26</c:v>
                </c:pt>
                <c:pt idx="910">
                  <c:v>57.988999999999997</c:v>
                </c:pt>
                <c:pt idx="911">
                  <c:v>60.048999999999999</c:v>
                </c:pt>
                <c:pt idx="912">
                  <c:v>59.57</c:v>
                </c:pt>
                <c:pt idx="913">
                  <c:v>60.304000000000002</c:v>
                </c:pt>
                <c:pt idx="914">
                  <c:v>62.35</c:v>
                </c:pt>
                <c:pt idx="915">
                  <c:v>60.96</c:v>
                </c:pt>
                <c:pt idx="916">
                  <c:v>61.231999999999999</c:v>
                </c:pt>
                <c:pt idx="917">
                  <c:v>62.9</c:v>
                </c:pt>
                <c:pt idx="918">
                  <c:v>61.44</c:v>
                </c:pt>
                <c:pt idx="919">
                  <c:v>62.1</c:v>
                </c:pt>
                <c:pt idx="920">
                  <c:v>63.973999999999997</c:v>
                </c:pt>
                <c:pt idx="921">
                  <c:v>68.224999999999994</c:v>
                </c:pt>
                <c:pt idx="922">
                  <c:v>69.63</c:v>
                </c:pt>
                <c:pt idx="923">
                  <c:v>68.319000000000003</c:v>
                </c:pt>
                <c:pt idx="924">
                  <c:v>70.073999999999998</c:v>
                </c:pt>
                <c:pt idx="925">
                  <c:v>70.533000000000001</c:v>
                </c:pt>
                <c:pt idx="926">
                  <c:v>72.599999999999994</c:v>
                </c:pt>
                <c:pt idx="927">
                  <c:v>70.400000000000006</c:v>
                </c:pt>
                <c:pt idx="928">
                  <c:v>73.201999999999998</c:v>
                </c:pt>
                <c:pt idx="929">
                  <c:v>73.869</c:v>
                </c:pt>
                <c:pt idx="930">
                  <c:v>74.099999999999994</c:v>
                </c:pt>
                <c:pt idx="931">
                  <c:v>71.947000000000003</c:v>
                </c:pt>
                <c:pt idx="932">
                  <c:v>68.006</c:v>
                </c:pt>
                <c:pt idx="933">
                  <c:v>75.025000000000006</c:v>
                </c:pt>
                <c:pt idx="934">
                  <c:v>80.790000000000006</c:v>
                </c:pt>
                <c:pt idx="935">
                  <c:v>79.7</c:v>
                </c:pt>
                <c:pt idx="936">
                  <c:v>79.381</c:v>
                </c:pt>
                <c:pt idx="937">
                  <c:v>77.62</c:v>
                </c:pt>
                <c:pt idx="938">
                  <c:v>79.093999999999994</c:v>
                </c:pt>
                <c:pt idx="939">
                  <c:v>80</c:v>
                </c:pt>
                <c:pt idx="940">
                  <c:v>84.13</c:v>
                </c:pt>
                <c:pt idx="941">
                  <c:v>85.27</c:v>
                </c:pt>
                <c:pt idx="942">
                  <c:v>88.022000000000006</c:v>
                </c:pt>
                <c:pt idx="943">
                  <c:v>90.158000000000001</c:v>
                </c:pt>
                <c:pt idx="944">
                  <c:v>95.138000000000005</c:v>
                </c:pt>
                <c:pt idx="945">
                  <c:v>86.429000000000002</c:v>
                </c:pt>
                <c:pt idx="946">
                  <c:v>88.049000000000007</c:v>
                </c:pt>
                <c:pt idx="947">
                  <c:v>91.055000000000007</c:v>
                </c:pt>
                <c:pt idx="948">
                  <c:v>89.576999999999998</c:v>
                </c:pt>
                <c:pt idx="949">
                  <c:v>86.93</c:v>
                </c:pt>
                <c:pt idx="950">
                  <c:v>90.388000000000005</c:v>
                </c:pt>
                <c:pt idx="951">
                  <c:v>86.7</c:v>
                </c:pt>
                <c:pt idx="952">
                  <c:v>89.796999999999997</c:v>
                </c:pt>
                <c:pt idx="953">
                  <c:v>92.3</c:v>
                </c:pt>
                <c:pt idx="954">
                  <c:v>91.141000000000005</c:v>
                </c:pt>
                <c:pt idx="955">
                  <c:v>93.941000000000003</c:v>
                </c:pt>
                <c:pt idx="956">
                  <c:v>95.850999999999999</c:v>
                </c:pt>
                <c:pt idx="957">
                  <c:v>93.111999999999995</c:v>
                </c:pt>
                <c:pt idx="958">
                  <c:v>90</c:v>
                </c:pt>
                <c:pt idx="959">
                  <c:v>90.299000000000007</c:v>
                </c:pt>
                <c:pt idx="960">
                  <c:v>88.447999999999993</c:v>
                </c:pt>
                <c:pt idx="961">
                  <c:v>88.483999999999995</c:v>
                </c:pt>
                <c:pt idx="962">
                  <c:v>90.406000000000006</c:v>
                </c:pt>
                <c:pt idx="963">
                  <c:v>86.866</c:v>
                </c:pt>
                <c:pt idx="964">
                  <c:v>88.7</c:v>
                </c:pt>
                <c:pt idx="965">
                  <c:v>87.441999999999993</c:v>
                </c:pt>
                <c:pt idx="966">
                  <c:v>83.926000000000002</c:v>
                </c:pt>
                <c:pt idx="967">
                  <c:v>87.42</c:v>
                </c:pt>
                <c:pt idx="968">
                  <c:v>89.698999999999998</c:v>
                </c:pt>
                <c:pt idx="969">
                  <c:v>89.097999999999999</c:v>
                </c:pt>
                <c:pt idx="970">
                  <c:v>86.433000000000007</c:v>
                </c:pt>
                <c:pt idx="971">
                  <c:v>88.34</c:v>
                </c:pt>
                <c:pt idx="972">
                  <c:v>84.97</c:v>
                </c:pt>
                <c:pt idx="973">
                  <c:v>83.15</c:v>
                </c:pt>
                <c:pt idx="974">
                  <c:v>78.103999999999999</c:v>
                </c:pt>
                <c:pt idx="975">
                  <c:v>80.769000000000005</c:v>
                </c:pt>
                <c:pt idx="976">
                  <c:v>83.95</c:v>
                </c:pt>
                <c:pt idx="977">
                  <c:v>78.867999999999995</c:v>
                </c:pt>
                <c:pt idx="978">
                  <c:v>83.817999999999998</c:v>
                </c:pt>
                <c:pt idx="979">
                  <c:v>87.594999999999999</c:v>
                </c:pt>
                <c:pt idx="980">
                  <c:v>87.24</c:v>
                </c:pt>
                <c:pt idx="981">
                  <c:v>85.076999999999998</c:v>
                </c:pt>
                <c:pt idx="982">
                  <c:v>84.448999999999998</c:v>
                </c:pt>
                <c:pt idx="983">
                  <c:v>87.789000000000001</c:v>
                </c:pt>
                <c:pt idx="984">
                  <c:v>89.39</c:v>
                </c:pt>
                <c:pt idx="985">
                  <c:v>91.097999999999999</c:v>
                </c:pt>
                <c:pt idx="986">
                  <c:v>89.483000000000004</c:v>
                </c:pt>
                <c:pt idx="987">
                  <c:v>90.528999999999996</c:v>
                </c:pt>
                <c:pt idx="988">
                  <c:v>90.305000000000007</c:v>
                </c:pt>
                <c:pt idx="989">
                  <c:v>90.477999999999994</c:v>
                </c:pt>
                <c:pt idx="990">
                  <c:v>89.599000000000004</c:v>
                </c:pt>
                <c:pt idx="991">
                  <c:v>92.471999999999994</c:v>
                </c:pt>
                <c:pt idx="992">
                  <c:v>94.91</c:v>
                </c:pt>
                <c:pt idx="993">
                  <c:v>94.369</c:v>
                </c:pt>
                <c:pt idx="994">
                  <c:v>93.75</c:v>
                </c:pt>
                <c:pt idx="995">
                  <c:v>93.599000000000004</c:v>
                </c:pt>
                <c:pt idx="996">
                  <c:v>95.459000000000003</c:v>
                </c:pt>
                <c:pt idx="997">
                  <c:v>102.02800000000001</c:v>
                </c:pt>
                <c:pt idx="998">
                  <c:v>104.449</c:v>
                </c:pt>
                <c:pt idx="999">
                  <c:v>110.244</c:v>
                </c:pt>
                <c:pt idx="1000">
                  <c:v>113.05</c:v>
                </c:pt>
                <c:pt idx="1001">
                  <c:v>114.65</c:v>
                </c:pt>
                <c:pt idx="1002">
                  <c:v>112.52</c:v>
                </c:pt>
                <c:pt idx="1003">
                  <c:v>113.621</c:v>
                </c:pt>
                <c:pt idx="1004">
                  <c:v>115.71599999999999</c:v>
                </c:pt>
                <c:pt idx="1005">
                  <c:v>118.371</c:v>
                </c:pt>
                <c:pt idx="1006">
                  <c:v>124.048</c:v>
                </c:pt>
                <c:pt idx="1007">
                  <c:v>119.77</c:v>
                </c:pt>
                <c:pt idx="1008">
                  <c:v>120.37</c:v>
                </c:pt>
                <c:pt idx="1009">
                  <c:v>121.77</c:v>
                </c:pt>
                <c:pt idx="1010">
                  <c:v>123.06</c:v>
                </c:pt>
                <c:pt idx="1011">
                  <c:v>129.38999999999999</c:v>
                </c:pt>
                <c:pt idx="1012">
                  <c:v>129.96</c:v>
                </c:pt>
                <c:pt idx="1013">
                  <c:v>132.99</c:v>
                </c:pt>
                <c:pt idx="1014">
                  <c:v>131.13999999999999</c:v>
                </c:pt>
                <c:pt idx="1015">
                  <c:v>139.80000000000001</c:v>
                </c:pt>
                <c:pt idx="1016">
                  <c:v>127.12</c:v>
                </c:pt>
                <c:pt idx="1017">
                  <c:v>123.24</c:v>
                </c:pt>
                <c:pt idx="1018">
                  <c:v>121.2</c:v>
                </c:pt>
                <c:pt idx="1019">
                  <c:v>126.13</c:v>
                </c:pt>
                <c:pt idx="1020">
                  <c:v>124.1</c:v>
                </c:pt>
                <c:pt idx="1021">
                  <c:v>124.58</c:v>
                </c:pt>
                <c:pt idx="1022">
                  <c:v>123.47</c:v>
                </c:pt>
                <c:pt idx="1023">
                  <c:v>121.13</c:v>
                </c:pt>
                <c:pt idx="1024">
                  <c:v>121.66</c:v>
                </c:pt>
                <c:pt idx="1025">
                  <c:v>127.38</c:v>
                </c:pt>
                <c:pt idx="1026">
                  <c:v>127.49</c:v>
                </c:pt>
                <c:pt idx="1027">
                  <c:v>130.35</c:v>
                </c:pt>
                <c:pt idx="1028">
                  <c:v>134.03</c:v>
                </c:pt>
                <c:pt idx="1029">
                  <c:v>135.75</c:v>
                </c:pt>
                <c:pt idx="1030">
                  <c:v>128.26</c:v>
                </c:pt>
                <c:pt idx="1031">
                  <c:v>130.56</c:v>
                </c:pt>
                <c:pt idx="1032">
                  <c:v>128.44</c:v>
                </c:pt>
                <c:pt idx="1033">
                  <c:v>121.35</c:v>
                </c:pt>
                <c:pt idx="1034">
                  <c:v>121.85</c:v>
                </c:pt>
                <c:pt idx="1035">
                  <c:v>120.35</c:v>
                </c:pt>
                <c:pt idx="1036">
                  <c:v>120.35</c:v>
                </c:pt>
                <c:pt idx="1037">
                  <c:v>122.78</c:v>
                </c:pt>
                <c:pt idx="1038">
                  <c:v>119.17</c:v>
                </c:pt>
                <c:pt idx="1039">
                  <c:v>113.04</c:v>
                </c:pt>
                <c:pt idx="1040">
                  <c:v>116.19</c:v>
                </c:pt>
                <c:pt idx="1041">
                  <c:v>113.69</c:v>
                </c:pt>
                <c:pt idx="1042">
                  <c:v>111.52</c:v>
                </c:pt>
                <c:pt idx="1043">
                  <c:v>112.9</c:v>
                </c:pt>
                <c:pt idx="1044">
                  <c:v>117.53</c:v>
                </c:pt>
                <c:pt idx="1045">
                  <c:v>103.76</c:v>
                </c:pt>
                <c:pt idx="1046">
                  <c:v>92.06</c:v>
                </c:pt>
                <c:pt idx="1047">
                  <c:v>103.84</c:v>
                </c:pt>
                <c:pt idx="1048">
                  <c:v>107.81</c:v>
                </c:pt>
                <c:pt idx="1049">
                  <c:v>102</c:v>
                </c:pt>
                <c:pt idx="1050">
                  <c:v>105.64</c:v>
                </c:pt>
                <c:pt idx="1051">
                  <c:v>106.32</c:v>
                </c:pt>
                <c:pt idx="1052">
                  <c:v>112.44</c:v>
                </c:pt>
                <c:pt idx="1053">
                  <c:v>118.53</c:v>
                </c:pt>
                <c:pt idx="1054">
                  <c:v>118.76</c:v>
                </c:pt>
                <c:pt idx="1055">
                  <c:v>121.94</c:v>
                </c:pt>
                <c:pt idx="1056">
                  <c:v>124.28</c:v>
                </c:pt>
                <c:pt idx="1057">
                  <c:v>128.4</c:v>
                </c:pt>
                <c:pt idx="1058">
                  <c:v>127.315</c:v>
                </c:pt>
                <c:pt idx="1059">
                  <c:v>130.02000000000001</c:v>
                </c:pt>
                <c:pt idx="1060">
                  <c:v>125.86</c:v>
                </c:pt>
                <c:pt idx="1061">
                  <c:v>129.57</c:v>
                </c:pt>
                <c:pt idx="1062">
                  <c:v>125.05</c:v>
                </c:pt>
                <c:pt idx="1063">
                  <c:v>128.12</c:v>
                </c:pt>
                <c:pt idx="1064">
                  <c:v>121.355</c:v>
                </c:pt>
                <c:pt idx="1065">
                  <c:v>119.53</c:v>
                </c:pt>
                <c:pt idx="1066">
                  <c:v>116.01</c:v>
                </c:pt>
                <c:pt idx="1067">
                  <c:v>105.41</c:v>
                </c:pt>
                <c:pt idx="1068">
                  <c:v>104.985</c:v>
                </c:pt>
                <c:pt idx="1069">
                  <c:v>108.04</c:v>
                </c:pt>
                <c:pt idx="1070">
                  <c:v>104.88</c:v>
                </c:pt>
                <c:pt idx="1071">
                  <c:v>107.81</c:v>
                </c:pt>
                <c:pt idx="1072">
                  <c:v>109.39</c:v>
                </c:pt>
                <c:pt idx="1073">
                  <c:v>116.84</c:v>
                </c:pt>
                <c:pt idx="1074">
                  <c:v>119.08</c:v>
                </c:pt>
                <c:pt idx="1075">
                  <c:v>116.79</c:v>
                </c:pt>
                <c:pt idx="1076">
                  <c:v>118.17</c:v>
                </c:pt>
                <c:pt idx="1077">
                  <c:v>115.89</c:v>
                </c:pt>
                <c:pt idx="1078">
                  <c:v>117.35</c:v>
                </c:pt>
                <c:pt idx="1079">
                  <c:v>117.06</c:v>
                </c:pt>
                <c:pt idx="1080">
                  <c:v>116.55</c:v>
                </c:pt>
                <c:pt idx="1081">
                  <c:v>116.515</c:v>
                </c:pt>
                <c:pt idx="1082">
                  <c:v>122.02</c:v>
                </c:pt>
                <c:pt idx="1083">
                  <c:v>126.8</c:v>
                </c:pt>
                <c:pt idx="1084">
                  <c:v>123.97</c:v>
                </c:pt>
                <c:pt idx="1085">
                  <c:v>118.31</c:v>
                </c:pt>
                <c:pt idx="1086">
                  <c:v>121.765</c:v>
                </c:pt>
                <c:pt idx="1087">
                  <c:v>116.44</c:v>
                </c:pt>
                <c:pt idx="1088">
                  <c:v>120.92</c:v>
                </c:pt>
                <c:pt idx="1089">
                  <c:v>124.94</c:v>
                </c:pt>
                <c:pt idx="1090">
                  <c:v>124.99</c:v>
                </c:pt>
                <c:pt idx="1091">
                  <c:v>130.26</c:v>
                </c:pt>
                <c:pt idx="1092">
                  <c:v>134.11000000000001</c:v>
                </c:pt>
                <c:pt idx="1093">
                  <c:v>131.91</c:v>
                </c:pt>
                <c:pt idx="1094">
                  <c:v>134.01</c:v>
                </c:pt>
                <c:pt idx="1095">
                  <c:v>136.47</c:v>
                </c:pt>
                <c:pt idx="1096">
                  <c:v>137.87</c:v>
                </c:pt>
                <c:pt idx="1097">
                  <c:v>133.97999999999999</c:v>
                </c:pt>
                <c:pt idx="1098">
                  <c:v>139.34</c:v>
                </c:pt>
                <c:pt idx="1099">
                  <c:v>138.66499999999999</c:v>
                </c:pt>
                <c:pt idx="1100">
                  <c:v>138.13</c:v>
                </c:pt>
                <c:pt idx="1101">
                  <c:v>142.91</c:v>
                </c:pt>
                <c:pt idx="1102">
                  <c:v>142.03</c:v>
                </c:pt>
                <c:pt idx="1103">
                  <c:v>140.82</c:v>
                </c:pt>
                <c:pt idx="1104">
                  <c:v>140.93</c:v>
                </c:pt>
                <c:pt idx="1105">
                  <c:v>143</c:v>
                </c:pt>
                <c:pt idx="1106">
                  <c:v>140.285</c:v>
                </c:pt>
                <c:pt idx="1107">
                  <c:v>139.54</c:v>
                </c:pt>
                <c:pt idx="1108">
                  <c:v>137.6</c:v>
                </c:pt>
                <c:pt idx="1109">
                  <c:v>134.69999999999999</c:v>
                </c:pt>
                <c:pt idx="1110">
                  <c:v>137.21</c:v>
                </c:pt>
                <c:pt idx="1111">
                  <c:v>137.44999999999999</c:v>
                </c:pt>
                <c:pt idx="1112">
                  <c:v>142.96</c:v>
                </c:pt>
                <c:pt idx="1113">
                  <c:v>146.38999999999999</c:v>
                </c:pt>
                <c:pt idx="1114">
                  <c:v>148.77000000000001</c:v>
                </c:pt>
                <c:pt idx="1115">
                  <c:v>148.68</c:v>
                </c:pt>
                <c:pt idx="1116">
                  <c:v>146.78</c:v>
                </c:pt>
                <c:pt idx="1117">
                  <c:v>149.07</c:v>
                </c:pt>
                <c:pt idx="1118">
                  <c:v>147.63999999999999</c:v>
                </c:pt>
                <c:pt idx="1119">
                  <c:v>144.87</c:v>
                </c:pt>
                <c:pt idx="1120">
                  <c:v>139.5</c:v>
                </c:pt>
                <c:pt idx="1121">
                  <c:v>141.32</c:v>
                </c:pt>
                <c:pt idx="1122">
                  <c:v>147.41</c:v>
                </c:pt>
                <c:pt idx="1123">
                  <c:v>149.35</c:v>
                </c:pt>
                <c:pt idx="1124">
                  <c:v>145.93</c:v>
                </c:pt>
                <c:pt idx="1125">
                  <c:v>141.99</c:v>
                </c:pt>
                <c:pt idx="1126">
                  <c:v>137.69999999999999</c:v>
                </c:pt>
                <c:pt idx="1127">
                  <c:v>135.01</c:v>
                </c:pt>
                <c:pt idx="1128">
                  <c:v>136.78</c:v>
                </c:pt>
                <c:pt idx="1129">
                  <c:v>138.83000000000001</c:v>
                </c:pt>
                <c:pt idx="1130">
                  <c:v>138.26</c:v>
                </c:pt>
                <c:pt idx="1131">
                  <c:v>141.995</c:v>
                </c:pt>
                <c:pt idx="1132">
                  <c:v>145.11000000000001</c:v>
                </c:pt>
                <c:pt idx="1133">
                  <c:v>144.6</c:v>
                </c:pt>
                <c:pt idx="1134">
                  <c:v>138.97</c:v>
                </c:pt>
                <c:pt idx="1135">
                  <c:v>139.01</c:v>
                </c:pt>
                <c:pt idx="1136">
                  <c:v>137.36000000000001</c:v>
                </c:pt>
                <c:pt idx="1137">
                  <c:v>137.08000000000001</c:v>
                </c:pt>
                <c:pt idx="1138">
                  <c:v>138.94</c:v>
                </c:pt>
                <c:pt idx="1139">
                  <c:v>134.18</c:v>
                </c:pt>
                <c:pt idx="1140">
                  <c:v>129.09</c:v>
                </c:pt>
                <c:pt idx="1141">
                  <c:v>133.86000000000001</c:v>
                </c:pt>
                <c:pt idx="1142">
                  <c:v>131.76</c:v>
                </c:pt>
                <c:pt idx="1143">
                  <c:v>129.81</c:v>
                </c:pt>
                <c:pt idx="1144">
                  <c:v>136.28</c:v>
                </c:pt>
                <c:pt idx="1145">
                  <c:v>140</c:v>
                </c:pt>
                <c:pt idx="1146">
                  <c:v>139.69999999999999</c:v>
                </c:pt>
                <c:pt idx="1147">
                  <c:v>138.55000000000001</c:v>
                </c:pt>
                <c:pt idx="1148">
                  <c:v>134.83000000000001</c:v>
                </c:pt>
                <c:pt idx="1149">
                  <c:v>138.03</c:v>
                </c:pt>
                <c:pt idx="1150">
                  <c:v>136</c:v>
                </c:pt>
                <c:pt idx="1151">
                  <c:v>140.01</c:v>
                </c:pt>
                <c:pt idx="1152">
                  <c:v>148.59</c:v>
                </c:pt>
                <c:pt idx="1153">
                  <c:v>153.03</c:v>
                </c:pt>
                <c:pt idx="1154">
                  <c:v>142.58000000000001</c:v>
                </c:pt>
                <c:pt idx="1155">
                  <c:v>137.44999999999999</c:v>
                </c:pt>
                <c:pt idx="1156">
                  <c:v>129.99</c:v>
                </c:pt>
                <c:pt idx="1157">
                  <c:v>136.05000000000001</c:v>
                </c:pt>
                <c:pt idx="1158">
                  <c:v>133.65</c:v>
                </c:pt>
                <c:pt idx="1159">
                  <c:v>138.63999999999999</c:v>
                </c:pt>
                <c:pt idx="1160">
                  <c:v>136.69</c:v>
                </c:pt>
                <c:pt idx="1161">
                  <c:v>139.16</c:v>
                </c:pt>
                <c:pt idx="1162">
                  <c:v>144.66</c:v>
                </c:pt>
                <c:pt idx="1163">
                  <c:v>145.05000000000001</c:v>
                </c:pt>
                <c:pt idx="1164">
                  <c:v>148.37</c:v>
                </c:pt>
                <c:pt idx="1165">
                  <c:v>124.8</c:v>
                </c:pt>
                <c:pt idx="1166">
                  <c:v>121.81</c:v>
                </c:pt>
                <c:pt idx="1167">
                  <c:v>126.5</c:v>
                </c:pt>
                <c:pt idx="1168">
                  <c:v>123.1</c:v>
                </c:pt>
                <c:pt idx="1169">
                  <c:v>123.78</c:v>
                </c:pt>
                <c:pt idx="1170">
                  <c:v>114.75</c:v>
                </c:pt>
                <c:pt idx="1171">
                  <c:v>116.96</c:v>
                </c:pt>
                <c:pt idx="1172">
                  <c:v>121.76</c:v>
                </c:pt>
                <c:pt idx="1173">
                  <c:v>127.42</c:v>
                </c:pt>
                <c:pt idx="1174">
                  <c:v>129.22</c:v>
                </c:pt>
                <c:pt idx="1175">
                  <c:v>130.09</c:v>
                </c:pt>
                <c:pt idx="1176">
                  <c:v>132.58000000000001</c:v>
                </c:pt>
                <c:pt idx="1177">
                  <c:v>130.02000000000001</c:v>
                </c:pt>
                <c:pt idx="1178">
                  <c:v>131.55500000000001</c:v>
                </c:pt>
                <c:pt idx="1179">
                  <c:v>136.47999999999999</c:v>
                </c:pt>
                <c:pt idx="1180">
                  <c:v>141.27000000000001</c:v>
                </c:pt>
                <c:pt idx="1181">
                  <c:v>139.51</c:v>
                </c:pt>
                <c:pt idx="1182">
                  <c:v>140.03</c:v>
                </c:pt>
                <c:pt idx="1183">
                  <c:v>140.04</c:v>
                </c:pt>
                <c:pt idx="1184">
                  <c:v>136.56</c:v>
                </c:pt>
                <c:pt idx="1185">
                  <c:v>129.97999999999999</c:v>
                </c:pt>
                <c:pt idx="1186">
                  <c:v>129.98500000000001</c:v>
                </c:pt>
                <c:pt idx="1187">
                  <c:v>135</c:v>
                </c:pt>
                <c:pt idx="1188">
                  <c:v>118.02</c:v>
                </c:pt>
                <c:pt idx="1189">
                  <c:v>123.51</c:v>
                </c:pt>
                <c:pt idx="1190">
                  <c:v>110.645</c:v>
                </c:pt>
                <c:pt idx="1191">
                  <c:v>117.58</c:v>
                </c:pt>
                <c:pt idx="1192">
                  <c:v>113.53</c:v>
                </c:pt>
                <c:pt idx="1193">
                  <c:v>111.25</c:v>
                </c:pt>
                <c:pt idx="1194">
                  <c:v>109.9</c:v>
                </c:pt>
                <c:pt idx="1195">
                  <c:v>106.99</c:v>
                </c:pt>
                <c:pt idx="1196">
                  <c:v>114.12</c:v>
                </c:pt>
                <c:pt idx="1197">
                  <c:v>117.03</c:v>
                </c:pt>
                <c:pt idx="1198">
                  <c:v>118.61</c:v>
                </c:pt>
                <c:pt idx="1199">
                  <c:v>122.74</c:v>
                </c:pt>
                <c:pt idx="1200">
                  <c:v>118</c:v>
                </c:pt>
                <c:pt idx="1201">
                  <c:v>117.27</c:v>
                </c:pt>
                <c:pt idx="1202">
                  <c:v>116.55</c:v>
                </c:pt>
                <c:pt idx="1203">
                  <c:v>116.94</c:v>
                </c:pt>
                <c:pt idx="1204">
                  <c:v>119.88</c:v>
                </c:pt>
                <c:pt idx="1205">
                  <c:v>120.545</c:v>
                </c:pt>
                <c:pt idx="1206">
                  <c:v>118.73</c:v>
                </c:pt>
                <c:pt idx="1207">
                  <c:v>111.35</c:v>
                </c:pt>
                <c:pt idx="1208">
                  <c:v>111.485</c:v>
                </c:pt>
                <c:pt idx="1209">
                  <c:v>105.13</c:v>
                </c:pt>
                <c:pt idx="1210">
                  <c:v>108.515</c:v>
                </c:pt>
                <c:pt idx="1211">
                  <c:v>107.29</c:v>
                </c:pt>
                <c:pt idx="1212">
                  <c:v>103.51</c:v>
                </c:pt>
                <c:pt idx="1213">
                  <c:v>98.893000000000001</c:v>
                </c:pt>
                <c:pt idx="1214">
                  <c:v>87.46</c:v>
                </c:pt>
                <c:pt idx="1215">
                  <c:v>103.80500000000001</c:v>
                </c:pt>
                <c:pt idx="1216">
                  <c:v>98.89</c:v>
                </c:pt>
                <c:pt idx="1217">
                  <c:v>109.37</c:v>
                </c:pt>
                <c:pt idx="1218">
                  <c:v>108.5</c:v>
                </c:pt>
                <c:pt idx="1219">
                  <c:v>114.11</c:v>
                </c:pt>
                <c:pt idx="1220">
                  <c:v>110.97</c:v>
                </c:pt>
                <c:pt idx="1221">
                  <c:v>104.55</c:v>
                </c:pt>
                <c:pt idx="1222">
                  <c:v>104.45</c:v>
                </c:pt>
                <c:pt idx="1223">
                  <c:v>98.77</c:v>
                </c:pt>
                <c:pt idx="1224">
                  <c:v>98.78</c:v>
                </c:pt>
                <c:pt idx="1225">
                  <c:v>104.52</c:v>
                </c:pt>
                <c:pt idx="1226">
                  <c:v>103.47499999999999</c:v>
                </c:pt>
                <c:pt idx="1227">
                  <c:v>106.85</c:v>
                </c:pt>
                <c:pt idx="1228">
                  <c:v>109.69</c:v>
                </c:pt>
                <c:pt idx="1229">
                  <c:v>107.67</c:v>
                </c:pt>
                <c:pt idx="1230">
                  <c:v>104.47</c:v>
                </c:pt>
                <c:pt idx="1231">
                  <c:v>113.08</c:v>
                </c:pt>
                <c:pt idx="1232">
                  <c:v>114.18</c:v>
                </c:pt>
                <c:pt idx="1233">
                  <c:v>112.905</c:v>
                </c:pt>
                <c:pt idx="1234">
                  <c:v>111.48</c:v>
                </c:pt>
                <c:pt idx="1235">
                  <c:v>113.045</c:v>
                </c:pt>
                <c:pt idx="1236">
                  <c:v>118.25</c:v>
                </c:pt>
                <c:pt idx="1237">
                  <c:v>117.35</c:v>
                </c:pt>
                <c:pt idx="1238">
                  <c:v>121.97</c:v>
                </c:pt>
                <c:pt idx="1239">
                  <c:v>124.98</c:v>
                </c:pt>
                <c:pt idx="1240">
                  <c:v>133.19499999999999</c:v>
                </c:pt>
                <c:pt idx="1241">
                  <c:v>134.29499999999999</c:v>
                </c:pt>
                <c:pt idx="1242">
                  <c:v>136.22</c:v>
                </c:pt>
                <c:pt idx="1243">
                  <c:v>132.38999999999999</c:v>
                </c:pt>
                <c:pt idx="1244">
                  <c:v>134.29</c:v>
                </c:pt>
                <c:pt idx="1245">
                  <c:v>133.06</c:v>
                </c:pt>
                <c:pt idx="1246">
                  <c:v>132.22999999999999</c:v>
                </c:pt>
                <c:pt idx="1247">
                  <c:v>130</c:v>
                </c:pt>
                <c:pt idx="1248">
                  <c:v>134.15</c:v>
                </c:pt>
                <c:pt idx="1249">
                  <c:v>136.02500000000001</c:v>
                </c:pt>
                <c:pt idx="1250">
                  <c:v>142.245</c:v>
                </c:pt>
                <c:pt idx="1251">
                  <c:v>138.715</c:v>
                </c:pt>
                <c:pt idx="1252">
                  <c:v>135.49</c:v>
                </c:pt>
                <c:pt idx="1253">
                  <c:v>138.78</c:v>
                </c:pt>
                <c:pt idx="1254">
                  <c:v>142.19</c:v>
                </c:pt>
                <c:pt idx="1255">
                  <c:v>142.16999999999999</c:v>
                </c:pt>
                <c:pt idx="1256">
                  <c:v>142.51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7-234A-B2E7-5382DE179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5198559"/>
        <c:axId val="1315427759"/>
      </c:lineChart>
      <c:dateAx>
        <c:axId val="13151985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5427759"/>
        <c:crosses val="autoZero"/>
        <c:auto val="1"/>
        <c:lblOffset val="100"/>
        <c:baseTimeUnit val="days"/>
        <c:majorUnit val="1"/>
        <c:majorTimeUnit val="years"/>
      </c:dateAx>
      <c:valAx>
        <c:axId val="1315427759"/>
        <c:scaling>
          <c:orientation val="minMax"/>
          <c:max val="3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5198559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'Share Price 5y'!$D$2</c:f>
              <c:strCache>
                <c:ptCount val="1"/>
                <c:pt idx="0">
                  <c:v>Eröffnungspreis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'Share Price 5y'!$C$3:$C$1752</c:f>
              <c:numCache>
                <c:formatCode>m/d/yy</c:formatCode>
                <c:ptCount val="1750"/>
                <c:pt idx="0">
                  <c:v>43990</c:v>
                </c:pt>
                <c:pt idx="1">
                  <c:v>43991</c:v>
                </c:pt>
                <c:pt idx="2">
                  <c:v>43992</c:v>
                </c:pt>
                <c:pt idx="3">
                  <c:v>43993</c:v>
                </c:pt>
                <c:pt idx="4">
                  <c:v>43994</c:v>
                </c:pt>
                <c:pt idx="5">
                  <c:v>43997</c:v>
                </c:pt>
                <c:pt idx="6">
                  <c:v>43998</c:v>
                </c:pt>
                <c:pt idx="7">
                  <c:v>43999</c:v>
                </c:pt>
                <c:pt idx="8">
                  <c:v>44000</c:v>
                </c:pt>
                <c:pt idx="9">
                  <c:v>44001</c:v>
                </c:pt>
                <c:pt idx="10">
                  <c:v>44004</c:v>
                </c:pt>
                <c:pt idx="11">
                  <c:v>44005</c:v>
                </c:pt>
                <c:pt idx="12">
                  <c:v>44006</c:v>
                </c:pt>
                <c:pt idx="13">
                  <c:v>44007</c:v>
                </c:pt>
                <c:pt idx="14">
                  <c:v>44008</c:v>
                </c:pt>
                <c:pt idx="15">
                  <c:v>44011</c:v>
                </c:pt>
                <c:pt idx="16">
                  <c:v>44012</c:v>
                </c:pt>
                <c:pt idx="17">
                  <c:v>44013</c:v>
                </c:pt>
                <c:pt idx="18">
                  <c:v>44014</c:v>
                </c:pt>
                <c:pt idx="19">
                  <c:v>44018</c:v>
                </c:pt>
                <c:pt idx="20">
                  <c:v>44019</c:v>
                </c:pt>
                <c:pt idx="21">
                  <c:v>44020</c:v>
                </c:pt>
                <c:pt idx="22">
                  <c:v>44021</c:v>
                </c:pt>
                <c:pt idx="23">
                  <c:v>44022</c:v>
                </c:pt>
                <c:pt idx="24">
                  <c:v>44025</c:v>
                </c:pt>
                <c:pt idx="25">
                  <c:v>44026</c:v>
                </c:pt>
                <c:pt idx="26">
                  <c:v>44027</c:v>
                </c:pt>
                <c:pt idx="27">
                  <c:v>44028</c:v>
                </c:pt>
                <c:pt idx="28">
                  <c:v>44029</c:v>
                </c:pt>
                <c:pt idx="29">
                  <c:v>44032</c:v>
                </c:pt>
                <c:pt idx="30">
                  <c:v>44033</c:v>
                </c:pt>
                <c:pt idx="31">
                  <c:v>44034</c:v>
                </c:pt>
                <c:pt idx="32">
                  <c:v>44035</c:v>
                </c:pt>
                <c:pt idx="33">
                  <c:v>44036</c:v>
                </c:pt>
                <c:pt idx="34">
                  <c:v>44039</c:v>
                </c:pt>
                <c:pt idx="35">
                  <c:v>44040</c:v>
                </c:pt>
                <c:pt idx="36">
                  <c:v>44041</c:v>
                </c:pt>
                <c:pt idx="37">
                  <c:v>44042</c:v>
                </c:pt>
                <c:pt idx="38">
                  <c:v>44043</c:v>
                </c:pt>
                <c:pt idx="39">
                  <c:v>44046</c:v>
                </c:pt>
                <c:pt idx="40">
                  <c:v>44047</c:v>
                </c:pt>
                <c:pt idx="41">
                  <c:v>44048</c:v>
                </c:pt>
                <c:pt idx="42">
                  <c:v>44049</c:v>
                </c:pt>
                <c:pt idx="43">
                  <c:v>44050</c:v>
                </c:pt>
                <c:pt idx="44">
                  <c:v>44053</c:v>
                </c:pt>
                <c:pt idx="45">
                  <c:v>44054</c:v>
                </c:pt>
                <c:pt idx="46">
                  <c:v>44055</c:v>
                </c:pt>
                <c:pt idx="47">
                  <c:v>44056</c:v>
                </c:pt>
                <c:pt idx="48">
                  <c:v>44057</c:v>
                </c:pt>
                <c:pt idx="49">
                  <c:v>44060</c:v>
                </c:pt>
                <c:pt idx="50">
                  <c:v>44061</c:v>
                </c:pt>
                <c:pt idx="51">
                  <c:v>44062</c:v>
                </c:pt>
                <c:pt idx="52">
                  <c:v>44063</c:v>
                </c:pt>
                <c:pt idx="53">
                  <c:v>44064</c:v>
                </c:pt>
                <c:pt idx="54">
                  <c:v>44067</c:v>
                </c:pt>
                <c:pt idx="55">
                  <c:v>44068</c:v>
                </c:pt>
                <c:pt idx="56">
                  <c:v>44069</c:v>
                </c:pt>
                <c:pt idx="57">
                  <c:v>44070</c:v>
                </c:pt>
                <c:pt idx="58">
                  <c:v>44071</c:v>
                </c:pt>
                <c:pt idx="59">
                  <c:v>44074</c:v>
                </c:pt>
                <c:pt idx="60">
                  <c:v>44075</c:v>
                </c:pt>
                <c:pt idx="61">
                  <c:v>44076</c:v>
                </c:pt>
                <c:pt idx="62">
                  <c:v>44077</c:v>
                </c:pt>
                <c:pt idx="63">
                  <c:v>44078</c:v>
                </c:pt>
                <c:pt idx="64">
                  <c:v>44082</c:v>
                </c:pt>
                <c:pt idx="65">
                  <c:v>44083</c:v>
                </c:pt>
                <c:pt idx="66">
                  <c:v>44084</c:v>
                </c:pt>
                <c:pt idx="67">
                  <c:v>44085</c:v>
                </c:pt>
                <c:pt idx="68">
                  <c:v>44088</c:v>
                </c:pt>
                <c:pt idx="69">
                  <c:v>44089</c:v>
                </c:pt>
                <c:pt idx="70">
                  <c:v>44090</c:v>
                </c:pt>
                <c:pt idx="71">
                  <c:v>44091</c:v>
                </c:pt>
                <c:pt idx="72">
                  <c:v>44092</c:v>
                </c:pt>
                <c:pt idx="73">
                  <c:v>44095</c:v>
                </c:pt>
                <c:pt idx="74">
                  <c:v>44096</c:v>
                </c:pt>
                <c:pt idx="75">
                  <c:v>44097</c:v>
                </c:pt>
                <c:pt idx="76">
                  <c:v>44098</c:v>
                </c:pt>
                <c:pt idx="77">
                  <c:v>44099</c:v>
                </c:pt>
                <c:pt idx="78">
                  <c:v>44102</c:v>
                </c:pt>
                <c:pt idx="79">
                  <c:v>44103</c:v>
                </c:pt>
                <c:pt idx="80">
                  <c:v>44104</c:v>
                </c:pt>
                <c:pt idx="81">
                  <c:v>44105</c:v>
                </c:pt>
                <c:pt idx="82">
                  <c:v>44106</c:v>
                </c:pt>
                <c:pt idx="83">
                  <c:v>44109</c:v>
                </c:pt>
                <c:pt idx="84">
                  <c:v>44110</c:v>
                </c:pt>
                <c:pt idx="85">
                  <c:v>44111</c:v>
                </c:pt>
                <c:pt idx="86">
                  <c:v>44112</c:v>
                </c:pt>
                <c:pt idx="87">
                  <c:v>44113</c:v>
                </c:pt>
                <c:pt idx="88">
                  <c:v>44116</c:v>
                </c:pt>
                <c:pt idx="89">
                  <c:v>44117</c:v>
                </c:pt>
                <c:pt idx="90">
                  <c:v>44118</c:v>
                </c:pt>
                <c:pt idx="91">
                  <c:v>44119</c:v>
                </c:pt>
                <c:pt idx="92">
                  <c:v>44120</c:v>
                </c:pt>
                <c:pt idx="93">
                  <c:v>44123</c:v>
                </c:pt>
                <c:pt idx="94">
                  <c:v>44124</c:v>
                </c:pt>
                <c:pt idx="95">
                  <c:v>44125</c:v>
                </c:pt>
                <c:pt idx="96">
                  <c:v>44126</c:v>
                </c:pt>
                <c:pt idx="97">
                  <c:v>44127</c:v>
                </c:pt>
                <c:pt idx="98">
                  <c:v>44130</c:v>
                </c:pt>
                <c:pt idx="99">
                  <c:v>44131</c:v>
                </c:pt>
                <c:pt idx="100">
                  <c:v>44132</c:v>
                </c:pt>
                <c:pt idx="101">
                  <c:v>44133</c:v>
                </c:pt>
                <c:pt idx="102">
                  <c:v>44134</c:v>
                </c:pt>
                <c:pt idx="103">
                  <c:v>44137</c:v>
                </c:pt>
                <c:pt idx="104">
                  <c:v>44138</c:v>
                </c:pt>
                <c:pt idx="105">
                  <c:v>44139</c:v>
                </c:pt>
                <c:pt idx="106">
                  <c:v>44140</c:v>
                </c:pt>
                <c:pt idx="107">
                  <c:v>44141</c:v>
                </c:pt>
                <c:pt idx="108">
                  <c:v>44144</c:v>
                </c:pt>
                <c:pt idx="109">
                  <c:v>44145</c:v>
                </c:pt>
                <c:pt idx="110">
                  <c:v>44146</c:v>
                </c:pt>
                <c:pt idx="111">
                  <c:v>44147</c:v>
                </c:pt>
                <c:pt idx="112">
                  <c:v>44148</c:v>
                </c:pt>
                <c:pt idx="113">
                  <c:v>44151</c:v>
                </c:pt>
                <c:pt idx="114">
                  <c:v>44152</c:v>
                </c:pt>
                <c:pt idx="115">
                  <c:v>44153</c:v>
                </c:pt>
                <c:pt idx="116">
                  <c:v>44154</c:v>
                </c:pt>
                <c:pt idx="117">
                  <c:v>44155</c:v>
                </c:pt>
                <c:pt idx="118">
                  <c:v>44158</c:v>
                </c:pt>
                <c:pt idx="119">
                  <c:v>44159</c:v>
                </c:pt>
                <c:pt idx="120">
                  <c:v>44160</c:v>
                </c:pt>
                <c:pt idx="121">
                  <c:v>44162</c:v>
                </c:pt>
                <c:pt idx="122">
                  <c:v>44165</c:v>
                </c:pt>
                <c:pt idx="123">
                  <c:v>44166</c:v>
                </c:pt>
                <c:pt idx="124">
                  <c:v>44167</c:v>
                </c:pt>
                <c:pt idx="125">
                  <c:v>44168</c:v>
                </c:pt>
                <c:pt idx="126">
                  <c:v>44169</c:v>
                </c:pt>
                <c:pt idx="127">
                  <c:v>44172</c:v>
                </c:pt>
                <c:pt idx="128">
                  <c:v>44173</c:v>
                </c:pt>
                <c:pt idx="129">
                  <c:v>44174</c:v>
                </c:pt>
                <c:pt idx="130">
                  <c:v>44175</c:v>
                </c:pt>
                <c:pt idx="131">
                  <c:v>44176</c:v>
                </c:pt>
                <c:pt idx="132">
                  <c:v>44179</c:v>
                </c:pt>
                <c:pt idx="133">
                  <c:v>44180</c:v>
                </c:pt>
                <c:pt idx="134">
                  <c:v>44181</c:v>
                </c:pt>
                <c:pt idx="135">
                  <c:v>44182</c:v>
                </c:pt>
                <c:pt idx="136">
                  <c:v>44183</c:v>
                </c:pt>
                <c:pt idx="137">
                  <c:v>44186</c:v>
                </c:pt>
                <c:pt idx="138">
                  <c:v>44187</c:v>
                </c:pt>
                <c:pt idx="139">
                  <c:v>44188</c:v>
                </c:pt>
                <c:pt idx="140">
                  <c:v>44189</c:v>
                </c:pt>
                <c:pt idx="141">
                  <c:v>44193</c:v>
                </c:pt>
                <c:pt idx="142">
                  <c:v>44194</c:v>
                </c:pt>
                <c:pt idx="143">
                  <c:v>44195</c:v>
                </c:pt>
                <c:pt idx="144">
                  <c:v>44196</c:v>
                </c:pt>
                <c:pt idx="145">
                  <c:v>44200</c:v>
                </c:pt>
                <c:pt idx="146">
                  <c:v>44201</c:v>
                </c:pt>
                <c:pt idx="147">
                  <c:v>44202</c:v>
                </c:pt>
                <c:pt idx="148">
                  <c:v>44203</c:v>
                </c:pt>
                <c:pt idx="149">
                  <c:v>44204</c:v>
                </c:pt>
                <c:pt idx="150">
                  <c:v>44207</c:v>
                </c:pt>
                <c:pt idx="151">
                  <c:v>44208</c:v>
                </c:pt>
                <c:pt idx="152">
                  <c:v>44209</c:v>
                </c:pt>
                <c:pt idx="153">
                  <c:v>44210</c:v>
                </c:pt>
                <c:pt idx="154">
                  <c:v>44211</c:v>
                </c:pt>
                <c:pt idx="155">
                  <c:v>44215</c:v>
                </c:pt>
                <c:pt idx="156">
                  <c:v>44216</c:v>
                </c:pt>
                <c:pt idx="157">
                  <c:v>44217</c:v>
                </c:pt>
                <c:pt idx="158">
                  <c:v>44218</c:v>
                </c:pt>
                <c:pt idx="159">
                  <c:v>44221</c:v>
                </c:pt>
                <c:pt idx="160">
                  <c:v>44222</c:v>
                </c:pt>
                <c:pt idx="161">
                  <c:v>44223</c:v>
                </c:pt>
                <c:pt idx="162">
                  <c:v>44224</c:v>
                </c:pt>
                <c:pt idx="163">
                  <c:v>44225</c:v>
                </c:pt>
                <c:pt idx="164">
                  <c:v>44228</c:v>
                </c:pt>
                <c:pt idx="165">
                  <c:v>44229</c:v>
                </c:pt>
                <c:pt idx="166">
                  <c:v>44230</c:v>
                </c:pt>
                <c:pt idx="167">
                  <c:v>44231</c:v>
                </c:pt>
                <c:pt idx="168">
                  <c:v>44232</c:v>
                </c:pt>
                <c:pt idx="169">
                  <c:v>44235</c:v>
                </c:pt>
                <c:pt idx="170">
                  <c:v>44236</c:v>
                </c:pt>
                <c:pt idx="171">
                  <c:v>44237</c:v>
                </c:pt>
                <c:pt idx="172">
                  <c:v>44238</c:v>
                </c:pt>
                <c:pt idx="173">
                  <c:v>44239</c:v>
                </c:pt>
                <c:pt idx="174">
                  <c:v>44243</c:v>
                </c:pt>
                <c:pt idx="175">
                  <c:v>44244</c:v>
                </c:pt>
                <c:pt idx="176">
                  <c:v>44245</c:v>
                </c:pt>
                <c:pt idx="177">
                  <c:v>44246</c:v>
                </c:pt>
                <c:pt idx="178">
                  <c:v>44249</c:v>
                </c:pt>
                <c:pt idx="179">
                  <c:v>44250</c:v>
                </c:pt>
                <c:pt idx="180">
                  <c:v>44251</c:v>
                </c:pt>
                <c:pt idx="181">
                  <c:v>44252</c:v>
                </c:pt>
                <c:pt idx="182">
                  <c:v>44253</c:v>
                </c:pt>
                <c:pt idx="183">
                  <c:v>44256</c:v>
                </c:pt>
                <c:pt idx="184">
                  <c:v>44257</c:v>
                </c:pt>
                <c:pt idx="185">
                  <c:v>44258</c:v>
                </c:pt>
                <c:pt idx="186">
                  <c:v>44259</c:v>
                </c:pt>
                <c:pt idx="187">
                  <c:v>44260</c:v>
                </c:pt>
                <c:pt idx="188">
                  <c:v>44263</c:v>
                </c:pt>
                <c:pt idx="189">
                  <c:v>44264</c:v>
                </c:pt>
                <c:pt idx="190">
                  <c:v>44265</c:v>
                </c:pt>
                <c:pt idx="191">
                  <c:v>44266</c:v>
                </c:pt>
                <c:pt idx="192">
                  <c:v>44267</c:v>
                </c:pt>
                <c:pt idx="193">
                  <c:v>44270</c:v>
                </c:pt>
                <c:pt idx="194">
                  <c:v>44271</c:v>
                </c:pt>
                <c:pt idx="195">
                  <c:v>44272</c:v>
                </c:pt>
                <c:pt idx="196">
                  <c:v>44273</c:v>
                </c:pt>
                <c:pt idx="197">
                  <c:v>44274</c:v>
                </c:pt>
                <c:pt idx="198">
                  <c:v>44277</c:v>
                </c:pt>
                <c:pt idx="199">
                  <c:v>44278</c:v>
                </c:pt>
                <c:pt idx="200">
                  <c:v>44279</c:v>
                </c:pt>
                <c:pt idx="201">
                  <c:v>44280</c:v>
                </c:pt>
                <c:pt idx="202">
                  <c:v>44281</c:v>
                </c:pt>
                <c:pt idx="203">
                  <c:v>44284</c:v>
                </c:pt>
                <c:pt idx="204">
                  <c:v>44285</c:v>
                </c:pt>
                <c:pt idx="205">
                  <c:v>44286</c:v>
                </c:pt>
                <c:pt idx="206">
                  <c:v>44287</c:v>
                </c:pt>
                <c:pt idx="207">
                  <c:v>44291</c:v>
                </c:pt>
                <c:pt idx="208">
                  <c:v>44292</c:v>
                </c:pt>
                <c:pt idx="209">
                  <c:v>44293</c:v>
                </c:pt>
                <c:pt idx="210">
                  <c:v>44294</c:v>
                </c:pt>
                <c:pt idx="211">
                  <c:v>44295</c:v>
                </c:pt>
                <c:pt idx="212">
                  <c:v>44298</c:v>
                </c:pt>
                <c:pt idx="213">
                  <c:v>44299</c:v>
                </c:pt>
                <c:pt idx="214">
                  <c:v>44300</c:v>
                </c:pt>
                <c:pt idx="215">
                  <c:v>44301</c:v>
                </c:pt>
                <c:pt idx="216">
                  <c:v>44302</c:v>
                </c:pt>
                <c:pt idx="217">
                  <c:v>44305</c:v>
                </c:pt>
                <c:pt idx="218">
                  <c:v>44306</c:v>
                </c:pt>
                <c:pt idx="219">
                  <c:v>44307</c:v>
                </c:pt>
                <c:pt idx="220">
                  <c:v>44308</c:v>
                </c:pt>
                <c:pt idx="221">
                  <c:v>44309</c:v>
                </c:pt>
                <c:pt idx="222">
                  <c:v>44312</c:v>
                </c:pt>
                <c:pt idx="223">
                  <c:v>44313</c:v>
                </c:pt>
                <c:pt idx="224">
                  <c:v>44314</c:v>
                </c:pt>
                <c:pt idx="225">
                  <c:v>44315</c:v>
                </c:pt>
                <c:pt idx="226">
                  <c:v>44316</c:v>
                </c:pt>
                <c:pt idx="227">
                  <c:v>44319</c:v>
                </c:pt>
                <c:pt idx="228">
                  <c:v>44320</c:v>
                </c:pt>
                <c:pt idx="229">
                  <c:v>44321</c:v>
                </c:pt>
                <c:pt idx="230">
                  <c:v>44322</c:v>
                </c:pt>
                <c:pt idx="231">
                  <c:v>44323</c:v>
                </c:pt>
                <c:pt idx="232">
                  <c:v>44326</c:v>
                </c:pt>
                <c:pt idx="233">
                  <c:v>44327</c:v>
                </c:pt>
                <c:pt idx="234">
                  <c:v>44328</c:v>
                </c:pt>
                <c:pt idx="235">
                  <c:v>44329</c:v>
                </c:pt>
                <c:pt idx="236">
                  <c:v>44330</c:v>
                </c:pt>
                <c:pt idx="237">
                  <c:v>44333</c:v>
                </c:pt>
                <c:pt idx="238">
                  <c:v>44334</c:v>
                </c:pt>
                <c:pt idx="239">
                  <c:v>44335</c:v>
                </c:pt>
                <c:pt idx="240">
                  <c:v>44336</c:v>
                </c:pt>
                <c:pt idx="241">
                  <c:v>44337</c:v>
                </c:pt>
                <c:pt idx="242">
                  <c:v>44340</c:v>
                </c:pt>
                <c:pt idx="243">
                  <c:v>44341</c:v>
                </c:pt>
                <c:pt idx="244">
                  <c:v>44342</c:v>
                </c:pt>
                <c:pt idx="245">
                  <c:v>44343</c:v>
                </c:pt>
                <c:pt idx="246">
                  <c:v>44344</c:v>
                </c:pt>
                <c:pt idx="247">
                  <c:v>44348</c:v>
                </c:pt>
                <c:pt idx="248">
                  <c:v>44349</c:v>
                </c:pt>
                <c:pt idx="249">
                  <c:v>44350</c:v>
                </c:pt>
                <c:pt idx="250">
                  <c:v>44351</c:v>
                </c:pt>
                <c:pt idx="251">
                  <c:v>44354</c:v>
                </c:pt>
                <c:pt idx="252">
                  <c:v>44355</c:v>
                </c:pt>
                <c:pt idx="253">
                  <c:v>44356</c:v>
                </c:pt>
                <c:pt idx="254">
                  <c:v>44357</c:v>
                </c:pt>
                <c:pt idx="255">
                  <c:v>44358</c:v>
                </c:pt>
                <c:pt idx="256">
                  <c:v>44361</c:v>
                </c:pt>
                <c:pt idx="257">
                  <c:v>44362</c:v>
                </c:pt>
                <c:pt idx="258">
                  <c:v>44363</c:v>
                </c:pt>
                <c:pt idx="259">
                  <c:v>44364</c:v>
                </c:pt>
                <c:pt idx="260">
                  <c:v>44365</c:v>
                </c:pt>
                <c:pt idx="261">
                  <c:v>44368</c:v>
                </c:pt>
                <c:pt idx="262">
                  <c:v>44369</c:v>
                </c:pt>
                <c:pt idx="263">
                  <c:v>44370</c:v>
                </c:pt>
                <c:pt idx="264">
                  <c:v>44371</c:v>
                </c:pt>
                <c:pt idx="265">
                  <c:v>44372</c:v>
                </c:pt>
                <c:pt idx="266">
                  <c:v>44375</c:v>
                </c:pt>
                <c:pt idx="267">
                  <c:v>44376</c:v>
                </c:pt>
                <c:pt idx="268">
                  <c:v>44377</c:v>
                </c:pt>
                <c:pt idx="269">
                  <c:v>44378</c:v>
                </c:pt>
                <c:pt idx="270">
                  <c:v>44379</c:v>
                </c:pt>
                <c:pt idx="271">
                  <c:v>44383</c:v>
                </c:pt>
                <c:pt idx="272">
                  <c:v>44384</c:v>
                </c:pt>
                <c:pt idx="273">
                  <c:v>44385</c:v>
                </c:pt>
                <c:pt idx="274">
                  <c:v>44386</c:v>
                </c:pt>
                <c:pt idx="275">
                  <c:v>44389</c:v>
                </c:pt>
                <c:pt idx="276">
                  <c:v>44390</c:v>
                </c:pt>
                <c:pt idx="277">
                  <c:v>44391</c:v>
                </c:pt>
                <c:pt idx="278">
                  <c:v>44392</c:v>
                </c:pt>
                <c:pt idx="279">
                  <c:v>44393</c:v>
                </c:pt>
                <c:pt idx="280">
                  <c:v>44396</c:v>
                </c:pt>
                <c:pt idx="281">
                  <c:v>44397</c:v>
                </c:pt>
                <c:pt idx="282">
                  <c:v>44398</c:v>
                </c:pt>
                <c:pt idx="283">
                  <c:v>44399</c:v>
                </c:pt>
                <c:pt idx="284">
                  <c:v>44400</c:v>
                </c:pt>
                <c:pt idx="285">
                  <c:v>44403</c:v>
                </c:pt>
                <c:pt idx="286">
                  <c:v>44404</c:v>
                </c:pt>
                <c:pt idx="287">
                  <c:v>44405</c:v>
                </c:pt>
                <c:pt idx="288">
                  <c:v>44406</c:v>
                </c:pt>
                <c:pt idx="289">
                  <c:v>44407</c:v>
                </c:pt>
                <c:pt idx="290">
                  <c:v>44410</c:v>
                </c:pt>
                <c:pt idx="291">
                  <c:v>44411</c:v>
                </c:pt>
                <c:pt idx="292">
                  <c:v>44412</c:v>
                </c:pt>
                <c:pt idx="293">
                  <c:v>44413</c:v>
                </c:pt>
                <c:pt idx="294">
                  <c:v>44414</c:v>
                </c:pt>
                <c:pt idx="295">
                  <c:v>44417</c:v>
                </c:pt>
                <c:pt idx="296">
                  <c:v>44418</c:v>
                </c:pt>
                <c:pt idx="297">
                  <c:v>44419</c:v>
                </c:pt>
                <c:pt idx="298">
                  <c:v>44420</c:v>
                </c:pt>
                <c:pt idx="299">
                  <c:v>44421</c:v>
                </c:pt>
                <c:pt idx="300">
                  <c:v>44424</c:v>
                </c:pt>
                <c:pt idx="301">
                  <c:v>44425</c:v>
                </c:pt>
                <c:pt idx="302">
                  <c:v>44426</c:v>
                </c:pt>
                <c:pt idx="303">
                  <c:v>44427</c:v>
                </c:pt>
                <c:pt idx="304">
                  <c:v>44428</c:v>
                </c:pt>
                <c:pt idx="305">
                  <c:v>44431</c:v>
                </c:pt>
                <c:pt idx="306">
                  <c:v>44432</c:v>
                </c:pt>
                <c:pt idx="307">
                  <c:v>44433</c:v>
                </c:pt>
                <c:pt idx="308">
                  <c:v>44434</c:v>
                </c:pt>
                <c:pt idx="309">
                  <c:v>44435</c:v>
                </c:pt>
                <c:pt idx="310">
                  <c:v>44438</c:v>
                </c:pt>
                <c:pt idx="311">
                  <c:v>44439</c:v>
                </c:pt>
                <c:pt idx="312">
                  <c:v>44440</c:v>
                </c:pt>
                <c:pt idx="313">
                  <c:v>44441</c:v>
                </c:pt>
                <c:pt idx="314">
                  <c:v>44442</c:v>
                </c:pt>
                <c:pt idx="315">
                  <c:v>44446</c:v>
                </c:pt>
                <c:pt idx="316">
                  <c:v>44447</c:v>
                </c:pt>
                <c:pt idx="317">
                  <c:v>44448</c:v>
                </c:pt>
                <c:pt idx="318">
                  <c:v>44449</c:v>
                </c:pt>
                <c:pt idx="319">
                  <c:v>44452</c:v>
                </c:pt>
                <c:pt idx="320">
                  <c:v>44453</c:v>
                </c:pt>
                <c:pt idx="321">
                  <c:v>44454</c:v>
                </c:pt>
                <c:pt idx="322">
                  <c:v>44455</c:v>
                </c:pt>
                <c:pt idx="323">
                  <c:v>44456</c:v>
                </c:pt>
                <c:pt idx="324">
                  <c:v>44459</c:v>
                </c:pt>
                <c:pt idx="325">
                  <c:v>44460</c:v>
                </c:pt>
                <c:pt idx="326">
                  <c:v>44461</c:v>
                </c:pt>
                <c:pt idx="327">
                  <c:v>44462</c:v>
                </c:pt>
                <c:pt idx="328">
                  <c:v>44463</c:v>
                </c:pt>
                <c:pt idx="329">
                  <c:v>44466</c:v>
                </c:pt>
                <c:pt idx="330">
                  <c:v>44467</c:v>
                </c:pt>
                <c:pt idx="331">
                  <c:v>44468</c:v>
                </c:pt>
                <c:pt idx="332">
                  <c:v>44469</c:v>
                </c:pt>
                <c:pt idx="333">
                  <c:v>44470</c:v>
                </c:pt>
                <c:pt idx="334">
                  <c:v>44473</c:v>
                </c:pt>
                <c:pt idx="335">
                  <c:v>44474</c:v>
                </c:pt>
                <c:pt idx="336">
                  <c:v>44475</c:v>
                </c:pt>
                <c:pt idx="337">
                  <c:v>44476</c:v>
                </c:pt>
                <c:pt idx="338">
                  <c:v>44477</c:v>
                </c:pt>
                <c:pt idx="339">
                  <c:v>44480</c:v>
                </c:pt>
                <c:pt idx="340">
                  <c:v>44481</c:v>
                </c:pt>
                <c:pt idx="341">
                  <c:v>44482</c:v>
                </c:pt>
                <c:pt idx="342">
                  <c:v>44483</c:v>
                </c:pt>
                <c:pt idx="343">
                  <c:v>44484</c:v>
                </c:pt>
                <c:pt idx="344">
                  <c:v>44487</c:v>
                </c:pt>
                <c:pt idx="345">
                  <c:v>44488</c:v>
                </c:pt>
                <c:pt idx="346">
                  <c:v>44489</c:v>
                </c:pt>
                <c:pt idx="347">
                  <c:v>44490</c:v>
                </c:pt>
                <c:pt idx="348">
                  <c:v>44491</c:v>
                </c:pt>
                <c:pt idx="349">
                  <c:v>44494</c:v>
                </c:pt>
                <c:pt idx="350">
                  <c:v>44495</c:v>
                </c:pt>
                <c:pt idx="351">
                  <c:v>44496</c:v>
                </c:pt>
                <c:pt idx="352">
                  <c:v>44497</c:v>
                </c:pt>
                <c:pt idx="353">
                  <c:v>44498</c:v>
                </c:pt>
                <c:pt idx="354">
                  <c:v>44501</c:v>
                </c:pt>
                <c:pt idx="355">
                  <c:v>44502</c:v>
                </c:pt>
                <c:pt idx="356">
                  <c:v>44503</c:v>
                </c:pt>
                <c:pt idx="357">
                  <c:v>44504</c:v>
                </c:pt>
                <c:pt idx="358">
                  <c:v>44505</c:v>
                </c:pt>
                <c:pt idx="359">
                  <c:v>44508</c:v>
                </c:pt>
                <c:pt idx="360">
                  <c:v>44509</c:v>
                </c:pt>
                <c:pt idx="361">
                  <c:v>44510</c:v>
                </c:pt>
                <c:pt idx="362">
                  <c:v>44511</c:v>
                </c:pt>
                <c:pt idx="363">
                  <c:v>44512</c:v>
                </c:pt>
                <c:pt idx="364">
                  <c:v>44515</c:v>
                </c:pt>
                <c:pt idx="365">
                  <c:v>44516</c:v>
                </c:pt>
                <c:pt idx="366">
                  <c:v>44517</c:v>
                </c:pt>
                <c:pt idx="367">
                  <c:v>44518</c:v>
                </c:pt>
                <c:pt idx="368">
                  <c:v>44519</c:v>
                </c:pt>
                <c:pt idx="369">
                  <c:v>44522</c:v>
                </c:pt>
                <c:pt idx="370">
                  <c:v>44523</c:v>
                </c:pt>
                <c:pt idx="371">
                  <c:v>44524</c:v>
                </c:pt>
                <c:pt idx="372">
                  <c:v>44526</c:v>
                </c:pt>
                <c:pt idx="373">
                  <c:v>44529</c:v>
                </c:pt>
                <c:pt idx="374">
                  <c:v>44530</c:v>
                </c:pt>
                <c:pt idx="375">
                  <c:v>44531</c:v>
                </c:pt>
                <c:pt idx="376">
                  <c:v>44532</c:v>
                </c:pt>
                <c:pt idx="377">
                  <c:v>44533</c:v>
                </c:pt>
                <c:pt idx="378">
                  <c:v>44536</c:v>
                </c:pt>
                <c:pt idx="379">
                  <c:v>44537</c:v>
                </c:pt>
                <c:pt idx="380">
                  <c:v>44538</c:v>
                </c:pt>
                <c:pt idx="381">
                  <c:v>44539</c:v>
                </c:pt>
                <c:pt idx="382">
                  <c:v>44540</c:v>
                </c:pt>
                <c:pt idx="383">
                  <c:v>44543</c:v>
                </c:pt>
                <c:pt idx="384">
                  <c:v>44544</c:v>
                </c:pt>
                <c:pt idx="385">
                  <c:v>44545</c:v>
                </c:pt>
                <c:pt idx="386">
                  <c:v>44546</c:v>
                </c:pt>
                <c:pt idx="387">
                  <c:v>44547</c:v>
                </c:pt>
                <c:pt idx="388">
                  <c:v>44550</c:v>
                </c:pt>
                <c:pt idx="389">
                  <c:v>44551</c:v>
                </c:pt>
                <c:pt idx="390">
                  <c:v>44552</c:v>
                </c:pt>
                <c:pt idx="391">
                  <c:v>44553</c:v>
                </c:pt>
                <c:pt idx="392">
                  <c:v>44557</c:v>
                </c:pt>
                <c:pt idx="393">
                  <c:v>44558</c:v>
                </c:pt>
                <c:pt idx="394">
                  <c:v>44559</c:v>
                </c:pt>
                <c:pt idx="395">
                  <c:v>44560</c:v>
                </c:pt>
                <c:pt idx="396">
                  <c:v>44561</c:v>
                </c:pt>
                <c:pt idx="397">
                  <c:v>44564</c:v>
                </c:pt>
                <c:pt idx="398">
                  <c:v>44565</c:v>
                </c:pt>
                <c:pt idx="399">
                  <c:v>44566</c:v>
                </c:pt>
                <c:pt idx="400">
                  <c:v>44567</c:v>
                </c:pt>
                <c:pt idx="401">
                  <c:v>44568</c:v>
                </c:pt>
                <c:pt idx="402">
                  <c:v>44571</c:v>
                </c:pt>
                <c:pt idx="403">
                  <c:v>44572</c:v>
                </c:pt>
                <c:pt idx="404">
                  <c:v>44573</c:v>
                </c:pt>
                <c:pt idx="405">
                  <c:v>44574</c:v>
                </c:pt>
                <c:pt idx="406">
                  <c:v>44575</c:v>
                </c:pt>
                <c:pt idx="407">
                  <c:v>44579</c:v>
                </c:pt>
                <c:pt idx="408">
                  <c:v>44580</c:v>
                </c:pt>
                <c:pt idx="409">
                  <c:v>44581</c:v>
                </c:pt>
                <c:pt idx="410">
                  <c:v>44582</c:v>
                </c:pt>
                <c:pt idx="411">
                  <c:v>44585</c:v>
                </c:pt>
                <c:pt idx="412">
                  <c:v>44586</c:v>
                </c:pt>
                <c:pt idx="413">
                  <c:v>44587</c:v>
                </c:pt>
                <c:pt idx="414">
                  <c:v>44588</c:v>
                </c:pt>
                <c:pt idx="415">
                  <c:v>44589</c:v>
                </c:pt>
                <c:pt idx="416">
                  <c:v>44592</c:v>
                </c:pt>
                <c:pt idx="417">
                  <c:v>44593</c:v>
                </c:pt>
                <c:pt idx="418">
                  <c:v>44594</c:v>
                </c:pt>
                <c:pt idx="419">
                  <c:v>44595</c:v>
                </c:pt>
                <c:pt idx="420">
                  <c:v>44596</c:v>
                </c:pt>
                <c:pt idx="421">
                  <c:v>44599</c:v>
                </c:pt>
                <c:pt idx="422">
                  <c:v>44600</c:v>
                </c:pt>
                <c:pt idx="423">
                  <c:v>44601</c:v>
                </c:pt>
                <c:pt idx="424">
                  <c:v>44602</c:v>
                </c:pt>
                <c:pt idx="425">
                  <c:v>44603</c:v>
                </c:pt>
                <c:pt idx="426">
                  <c:v>44606</c:v>
                </c:pt>
                <c:pt idx="427">
                  <c:v>44607</c:v>
                </c:pt>
                <c:pt idx="428">
                  <c:v>44608</c:v>
                </c:pt>
                <c:pt idx="429">
                  <c:v>44609</c:v>
                </c:pt>
                <c:pt idx="430">
                  <c:v>44610</c:v>
                </c:pt>
                <c:pt idx="431">
                  <c:v>44614</c:v>
                </c:pt>
                <c:pt idx="432">
                  <c:v>44615</c:v>
                </c:pt>
                <c:pt idx="433">
                  <c:v>44616</c:v>
                </c:pt>
                <c:pt idx="434">
                  <c:v>44617</c:v>
                </c:pt>
                <c:pt idx="435">
                  <c:v>44620</c:v>
                </c:pt>
                <c:pt idx="436">
                  <c:v>44621</c:v>
                </c:pt>
                <c:pt idx="437">
                  <c:v>44622</c:v>
                </c:pt>
                <c:pt idx="438">
                  <c:v>44623</c:v>
                </c:pt>
                <c:pt idx="439">
                  <c:v>44624</c:v>
                </c:pt>
                <c:pt idx="440">
                  <c:v>44627</c:v>
                </c:pt>
                <c:pt idx="441">
                  <c:v>44628</c:v>
                </c:pt>
                <c:pt idx="442">
                  <c:v>44629</c:v>
                </c:pt>
                <c:pt idx="443">
                  <c:v>44630</c:v>
                </c:pt>
                <c:pt idx="444">
                  <c:v>44631</c:v>
                </c:pt>
                <c:pt idx="445">
                  <c:v>44634</c:v>
                </c:pt>
                <c:pt idx="446">
                  <c:v>44635</c:v>
                </c:pt>
                <c:pt idx="447">
                  <c:v>44636</c:v>
                </c:pt>
                <c:pt idx="448">
                  <c:v>44637</c:v>
                </c:pt>
                <c:pt idx="449">
                  <c:v>44638</c:v>
                </c:pt>
                <c:pt idx="450">
                  <c:v>44641</c:v>
                </c:pt>
                <c:pt idx="451">
                  <c:v>44642</c:v>
                </c:pt>
                <c:pt idx="452">
                  <c:v>44643</c:v>
                </c:pt>
                <c:pt idx="453">
                  <c:v>44644</c:v>
                </c:pt>
                <c:pt idx="454">
                  <c:v>44645</c:v>
                </c:pt>
                <c:pt idx="455">
                  <c:v>44648</c:v>
                </c:pt>
                <c:pt idx="456">
                  <c:v>44649</c:v>
                </c:pt>
                <c:pt idx="457">
                  <c:v>44650</c:v>
                </c:pt>
                <c:pt idx="458">
                  <c:v>44651</c:v>
                </c:pt>
                <c:pt idx="459">
                  <c:v>44652</c:v>
                </c:pt>
                <c:pt idx="460">
                  <c:v>44655</c:v>
                </c:pt>
                <c:pt idx="461">
                  <c:v>44656</c:v>
                </c:pt>
                <c:pt idx="462">
                  <c:v>44657</c:v>
                </c:pt>
                <c:pt idx="463">
                  <c:v>44658</c:v>
                </c:pt>
                <c:pt idx="464">
                  <c:v>44659</c:v>
                </c:pt>
                <c:pt idx="465">
                  <c:v>44662</c:v>
                </c:pt>
                <c:pt idx="466">
                  <c:v>44663</c:v>
                </c:pt>
                <c:pt idx="467">
                  <c:v>44664</c:v>
                </c:pt>
                <c:pt idx="468">
                  <c:v>44665</c:v>
                </c:pt>
                <c:pt idx="469">
                  <c:v>44669</c:v>
                </c:pt>
                <c:pt idx="470">
                  <c:v>44670</c:v>
                </c:pt>
                <c:pt idx="471">
                  <c:v>44671</c:v>
                </c:pt>
                <c:pt idx="472">
                  <c:v>44672</c:v>
                </c:pt>
                <c:pt idx="473">
                  <c:v>44673</c:v>
                </c:pt>
                <c:pt idx="474">
                  <c:v>44676</c:v>
                </c:pt>
                <c:pt idx="475">
                  <c:v>44677</c:v>
                </c:pt>
                <c:pt idx="476">
                  <c:v>44678</c:v>
                </c:pt>
                <c:pt idx="477">
                  <c:v>44679</c:v>
                </c:pt>
                <c:pt idx="478">
                  <c:v>44680</c:v>
                </c:pt>
                <c:pt idx="479">
                  <c:v>44683</c:v>
                </c:pt>
                <c:pt idx="480">
                  <c:v>44684</c:v>
                </c:pt>
                <c:pt idx="481">
                  <c:v>44685</c:v>
                </c:pt>
                <c:pt idx="482">
                  <c:v>44686</c:v>
                </c:pt>
                <c:pt idx="483">
                  <c:v>44687</c:v>
                </c:pt>
                <c:pt idx="484">
                  <c:v>44690</c:v>
                </c:pt>
                <c:pt idx="485">
                  <c:v>44691</c:v>
                </c:pt>
                <c:pt idx="486">
                  <c:v>44692</c:v>
                </c:pt>
                <c:pt idx="487">
                  <c:v>44693</c:v>
                </c:pt>
                <c:pt idx="488">
                  <c:v>44694</c:v>
                </c:pt>
                <c:pt idx="489">
                  <c:v>44697</c:v>
                </c:pt>
                <c:pt idx="490">
                  <c:v>44698</c:v>
                </c:pt>
                <c:pt idx="491">
                  <c:v>44699</c:v>
                </c:pt>
                <c:pt idx="492">
                  <c:v>44700</c:v>
                </c:pt>
                <c:pt idx="493">
                  <c:v>44701</c:v>
                </c:pt>
                <c:pt idx="494">
                  <c:v>44704</c:v>
                </c:pt>
                <c:pt idx="495">
                  <c:v>44705</c:v>
                </c:pt>
                <c:pt idx="496">
                  <c:v>44706</c:v>
                </c:pt>
                <c:pt idx="497">
                  <c:v>44707</c:v>
                </c:pt>
                <c:pt idx="498">
                  <c:v>44708</c:v>
                </c:pt>
                <c:pt idx="499">
                  <c:v>44712</c:v>
                </c:pt>
                <c:pt idx="500">
                  <c:v>44713</c:v>
                </c:pt>
                <c:pt idx="501">
                  <c:v>44714</c:v>
                </c:pt>
                <c:pt idx="502">
                  <c:v>44715</c:v>
                </c:pt>
                <c:pt idx="503">
                  <c:v>44718</c:v>
                </c:pt>
                <c:pt idx="504">
                  <c:v>44719</c:v>
                </c:pt>
                <c:pt idx="505">
                  <c:v>44720</c:v>
                </c:pt>
                <c:pt idx="506">
                  <c:v>44721</c:v>
                </c:pt>
                <c:pt idx="507">
                  <c:v>44722</c:v>
                </c:pt>
                <c:pt idx="508">
                  <c:v>44725</c:v>
                </c:pt>
                <c:pt idx="509">
                  <c:v>44726</c:v>
                </c:pt>
                <c:pt idx="510">
                  <c:v>44727</c:v>
                </c:pt>
                <c:pt idx="511">
                  <c:v>44728</c:v>
                </c:pt>
                <c:pt idx="512">
                  <c:v>44729</c:v>
                </c:pt>
                <c:pt idx="513">
                  <c:v>44733</c:v>
                </c:pt>
                <c:pt idx="514">
                  <c:v>44734</c:v>
                </c:pt>
                <c:pt idx="515">
                  <c:v>44735</c:v>
                </c:pt>
                <c:pt idx="516">
                  <c:v>44736</c:v>
                </c:pt>
                <c:pt idx="517">
                  <c:v>44739</c:v>
                </c:pt>
                <c:pt idx="518">
                  <c:v>44740</c:v>
                </c:pt>
                <c:pt idx="519">
                  <c:v>44741</c:v>
                </c:pt>
                <c:pt idx="520">
                  <c:v>44742</c:v>
                </c:pt>
                <c:pt idx="521">
                  <c:v>44743</c:v>
                </c:pt>
                <c:pt idx="522">
                  <c:v>44747</c:v>
                </c:pt>
                <c:pt idx="523">
                  <c:v>44748</c:v>
                </c:pt>
                <c:pt idx="524">
                  <c:v>44749</c:v>
                </c:pt>
                <c:pt idx="525">
                  <c:v>44750</c:v>
                </c:pt>
                <c:pt idx="526">
                  <c:v>44753</c:v>
                </c:pt>
                <c:pt idx="527">
                  <c:v>44754</c:v>
                </c:pt>
                <c:pt idx="528">
                  <c:v>44755</c:v>
                </c:pt>
                <c:pt idx="529">
                  <c:v>44756</c:v>
                </c:pt>
                <c:pt idx="530">
                  <c:v>44757</c:v>
                </c:pt>
                <c:pt idx="531">
                  <c:v>44760</c:v>
                </c:pt>
                <c:pt idx="532">
                  <c:v>44761</c:v>
                </c:pt>
                <c:pt idx="533">
                  <c:v>44762</c:v>
                </c:pt>
                <c:pt idx="534">
                  <c:v>44763</c:v>
                </c:pt>
                <c:pt idx="535">
                  <c:v>44764</c:v>
                </c:pt>
                <c:pt idx="536">
                  <c:v>44767</c:v>
                </c:pt>
                <c:pt idx="537">
                  <c:v>44768</c:v>
                </c:pt>
                <c:pt idx="538">
                  <c:v>44769</c:v>
                </c:pt>
                <c:pt idx="539">
                  <c:v>44770</c:v>
                </c:pt>
                <c:pt idx="540">
                  <c:v>44771</c:v>
                </c:pt>
                <c:pt idx="541">
                  <c:v>44774</c:v>
                </c:pt>
                <c:pt idx="542">
                  <c:v>44775</c:v>
                </c:pt>
                <c:pt idx="543">
                  <c:v>44776</c:v>
                </c:pt>
                <c:pt idx="544">
                  <c:v>44777</c:v>
                </c:pt>
                <c:pt idx="545">
                  <c:v>44778</c:v>
                </c:pt>
                <c:pt idx="546">
                  <c:v>44781</c:v>
                </c:pt>
                <c:pt idx="547">
                  <c:v>44782</c:v>
                </c:pt>
                <c:pt idx="548">
                  <c:v>44783</c:v>
                </c:pt>
                <c:pt idx="549">
                  <c:v>44784</c:v>
                </c:pt>
                <c:pt idx="550">
                  <c:v>44785</c:v>
                </c:pt>
                <c:pt idx="551">
                  <c:v>44788</c:v>
                </c:pt>
                <c:pt idx="552">
                  <c:v>44789</c:v>
                </c:pt>
                <c:pt idx="553">
                  <c:v>44790</c:v>
                </c:pt>
                <c:pt idx="554">
                  <c:v>44791</c:v>
                </c:pt>
                <c:pt idx="555">
                  <c:v>44792</c:v>
                </c:pt>
                <c:pt idx="556">
                  <c:v>44795</c:v>
                </c:pt>
                <c:pt idx="557">
                  <c:v>44796</c:v>
                </c:pt>
                <c:pt idx="558">
                  <c:v>44797</c:v>
                </c:pt>
                <c:pt idx="559">
                  <c:v>44798</c:v>
                </c:pt>
                <c:pt idx="560">
                  <c:v>44799</c:v>
                </c:pt>
                <c:pt idx="561">
                  <c:v>44802</c:v>
                </c:pt>
                <c:pt idx="562">
                  <c:v>44803</c:v>
                </c:pt>
                <c:pt idx="563">
                  <c:v>44804</c:v>
                </c:pt>
                <c:pt idx="564">
                  <c:v>44805</c:v>
                </c:pt>
                <c:pt idx="565">
                  <c:v>44806</c:v>
                </c:pt>
                <c:pt idx="566">
                  <c:v>44810</c:v>
                </c:pt>
                <c:pt idx="567">
                  <c:v>44811</c:v>
                </c:pt>
                <c:pt idx="568">
                  <c:v>44812</c:v>
                </c:pt>
                <c:pt idx="569">
                  <c:v>44813</c:v>
                </c:pt>
                <c:pt idx="570">
                  <c:v>44816</c:v>
                </c:pt>
                <c:pt idx="571">
                  <c:v>44817</c:v>
                </c:pt>
                <c:pt idx="572">
                  <c:v>44818</c:v>
                </c:pt>
                <c:pt idx="573">
                  <c:v>44819</c:v>
                </c:pt>
                <c:pt idx="574">
                  <c:v>44820</c:v>
                </c:pt>
                <c:pt idx="575">
                  <c:v>44823</c:v>
                </c:pt>
                <c:pt idx="576">
                  <c:v>44824</c:v>
                </c:pt>
                <c:pt idx="577">
                  <c:v>44825</c:v>
                </c:pt>
                <c:pt idx="578">
                  <c:v>44826</c:v>
                </c:pt>
                <c:pt idx="579">
                  <c:v>44827</c:v>
                </c:pt>
                <c:pt idx="580">
                  <c:v>44830</c:v>
                </c:pt>
                <c:pt idx="581">
                  <c:v>44831</c:v>
                </c:pt>
                <c:pt idx="582">
                  <c:v>44832</c:v>
                </c:pt>
                <c:pt idx="583">
                  <c:v>44833</c:v>
                </c:pt>
                <c:pt idx="584">
                  <c:v>44834</c:v>
                </c:pt>
                <c:pt idx="585">
                  <c:v>44837</c:v>
                </c:pt>
                <c:pt idx="586">
                  <c:v>44838</c:v>
                </c:pt>
                <c:pt idx="587">
                  <c:v>44839</c:v>
                </c:pt>
                <c:pt idx="588">
                  <c:v>44840</c:v>
                </c:pt>
                <c:pt idx="589">
                  <c:v>44841</c:v>
                </c:pt>
                <c:pt idx="590">
                  <c:v>44844</c:v>
                </c:pt>
                <c:pt idx="591">
                  <c:v>44845</c:v>
                </c:pt>
                <c:pt idx="592">
                  <c:v>44846</c:v>
                </c:pt>
                <c:pt idx="593">
                  <c:v>44847</c:v>
                </c:pt>
                <c:pt idx="594">
                  <c:v>44848</c:v>
                </c:pt>
                <c:pt idx="595">
                  <c:v>44851</c:v>
                </c:pt>
                <c:pt idx="596">
                  <c:v>44852</c:v>
                </c:pt>
                <c:pt idx="597">
                  <c:v>44853</c:v>
                </c:pt>
                <c:pt idx="598">
                  <c:v>44854</c:v>
                </c:pt>
                <c:pt idx="599">
                  <c:v>44855</c:v>
                </c:pt>
                <c:pt idx="600">
                  <c:v>44858</c:v>
                </c:pt>
                <c:pt idx="601">
                  <c:v>44859</c:v>
                </c:pt>
                <c:pt idx="602">
                  <c:v>44860</c:v>
                </c:pt>
                <c:pt idx="603">
                  <c:v>44861</c:v>
                </c:pt>
                <c:pt idx="604">
                  <c:v>44862</c:v>
                </c:pt>
                <c:pt idx="605">
                  <c:v>44865</c:v>
                </c:pt>
                <c:pt idx="606">
                  <c:v>44866</c:v>
                </c:pt>
                <c:pt idx="607">
                  <c:v>44867</c:v>
                </c:pt>
                <c:pt idx="608">
                  <c:v>44868</c:v>
                </c:pt>
                <c:pt idx="609">
                  <c:v>44869</c:v>
                </c:pt>
                <c:pt idx="610">
                  <c:v>44872</c:v>
                </c:pt>
                <c:pt idx="611">
                  <c:v>44873</c:v>
                </c:pt>
                <c:pt idx="612">
                  <c:v>44874</c:v>
                </c:pt>
                <c:pt idx="613">
                  <c:v>44875</c:v>
                </c:pt>
                <c:pt idx="614">
                  <c:v>44876</c:v>
                </c:pt>
                <c:pt idx="615">
                  <c:v>44879</c:v>
                </c:pt>
                <c:pt idx="616">
                  <c:v>44880</c:v>
                </c:pt>
                <c:pt idx="617">
                  <c:v>44881</c:v>
                </c:pt>
                <c:pt idx="618">
                  <c:v>44882</c:v>
                </c:pt>
                <c:pt idx="619">
                  <c:v>44883</c:v>
                </c:pt>
                <c:pt idx="620">
                  <c:v>44886</c:v>
                </c:pt>
                <c:pt idx="621">
                  <c:v>44887</c:v>
                </c:pt>
                <c:pt idx="622">
                  <c:v>44888</c:v>
                </c:pt>
                <c:pt idx="623">
                  <c:v>44890</c:v>
                </c:pt>
                <c:pt idx="624">
                  <c:v>44893</c:v>
                </c:pt>
                <c:pt idx="625">
                  <c:v>44894</c:v>
                </c:pt>
                <c:pt idx="626">
                  <c:v>44895</c:v>
                </c:pt>
                <c:pt idx="627">
                  <c:v>44896</c:v>
                </c:pt>
                <c:pt idx="628">
                  <c:v>44897</c:v>
                </c:pt>
                <c:pt idx="629">
                  <c:v>44900</c:v>
                </c:pt>
                <c:pt idx="630">
                  <c:v>44901</c:v>
                </c:pt>
                <c:pt idx="631">
                  <c:v>44902</c:v>
                </c:pt>
                <c:pt idx="632">
                  <c:v>44903</c:v>
                </c:pt>
                <c:pt idx="633">
                  <c:v>44904</c:v>
                </c:pt>
                <c:pt idx="634">
                  <c:v>44907</c:v>
                </c:pt>
                <c:pt idx="635">
                  <c:v>44908</c:v>
                </c:pt>
                <c:pt idx="636">
                  <c:v>44909</c:v>
                </c:pt>
                <c:pt idx="637">
                  <c:v>44910</c:v>
                </c:pt>
                <c:pt idx="638">
                  <c:v>44911</c:v>
                </c:pt>
                <c:pt idx="639">
                  <c:v>44914</c:v>
                </c:pt>
                <c:pt idx="640">
                  <c:v>44915</c:v>
                </c:pt>
                <c:pt idx="641">
                  <c:v>44916</c:v>
                </c:pt>
                <c:pt idx="642">
                  <c:v>44917</c:v>
                </c:pt>
                <c:pt idx="643">
                  <c:v>44918</c:v>
                </c:pt>
                <c:pt idx="644">
                  <c:v>44922</c:v>
                </c:pt>
                <c:pt idx="645">
                  <c:v>44923</c:v>
                </c:pt>
                <c:pt idx="646">
                  <c:v>44924</c:v>
                </c:pt>
                <c:pt idx="647">
                  <c:v>44925</c:v>
                </c:pt>
                <c:pt idx="648">
                  <c:v>44929</c:v>
                </c:pt>
                <c:pt idx="649">
                  <c:v>44930</c:v>
                </c:pt>
                <c:pt idx="650">
                  <c:v>44931</c:v>
                </c:pt>
                <c:pt idx="651">
                  <c:v>44932</c:v>
                </c:pt>
                <c:pt idx="652">
                  <c:v>44935</c:v>
                </c:pt>
                <c:pt idx="653">
                  <c:v>44936</c:v>
                </c:pt>
                <c:pt idx="654">
                  <c:v>44937</c:v>
                </c:pt>
                <c:pt idx="655">
                  <c:v>44938</c:v>
                </c:pt>
                <c:pt idx="656">
                  <c:v>44939</c:v>
                </c:pt>
                <c:pt idx="657">
                  <c:v>44943</c:v>
                </c:pt>
                <c:pt idx="658">
                  <c:v>44944</c:v>
                </c:pt>
                <c:pt idx="659">
                  <c:v>44945</c:v>
                </c:pt>
                <c:pt idx="660">
                  <c:v>44946</c:v>
                </c:pt>
                <c:pt idx="661">
                  <c:v>44949</c:v>
                </c:pt>
                <c:pt idx="662">
                  <c:v>44950</c:v>
                </c:pt>
                <c:pt idx="663">
                  <c:v>44951</c:v>
                </c:pt>
                <c:pt idx="664">
                  <c:v>44952</c:v>
                </c:pt>
                <c:pt idx="665">
                  <c:v>44953</c:v>
                </c:pt>
                <c:pt idx="666">
                  <c:v>44956</c:v>
                </c:pt>
                <c:pt idx="667">
                  <c:v>44957</c:v>
                </c:pt>
                <c:pt idx="668">
                  <c:v>44958</c:v>
                </c:pt>
                <c:pt idx="669">
                  <c:v>44959</c:v>
                </c:pt>
                <c:pt idx="670">
                  <c:v>44960</c:v>
                </c:pt>
                <c:pt idx="671">
                  <c:v>44963</c:v>
                </c:pt>
                <c:pt idx="672">
                  <c:v>44964</c:v>
                </c:pt>
                <c:pt idx="673">
                  <c:v>44965</c:v>
                </c:pt>
                <c:pt idx="674">
                  <c:v>44966</c:v>
                </c:pt>
                <c:pt idx="675">
                  <c:v>44967</c:v>
                </c:pt>
                <c:pt idx="676">
                  <c:v>44970</c:v>
                </c:pt>
                <c:pt idx="677">
                  <c:v>44971</c:v>
                </c:pt>
                <c:pt idx="678">
                  <c:v>44972</c:v>
                </c:pt>
                <c:pt idx="679">
                  <c:v>44973</c:v>
                </c:pt>
                <c:pt idx="680">
                  <c:v>44974</c:v>
                </c:pt>
                <c:pt idx="681">
                  <c:v>44978</c:v>
                </c:pt>
                <c:pt idx="682">
                  <c:v>44979</c:v>
                </c:pt>
                <c:pt idx="683">
                  <c:v>44980</c:v>
                </c:pt>
                <c:pt idx="684">
                  <c:v>44981</c:v>
                </c:pt>
                <c:pt idx="685">
                  <c:v>44984</c:v>
                </c:pt>
                <c:pt idx="686">
                  <c:v>44985</c:v>
                </c:pt>
                <c:pt idx="687">
                  <c:v>44986</c:v>
                </c:pt>
                <c:pt idx="688">
                  <c:v>44987</c:v>
                </c:pt>
                <c:pt idx="689">
                  <c:v>44988</c:v>
                </c:pt>
                <c:pt idx="690">
                  <c:v>44991</c:v>
                </c:pt>
                <c:pt idx="691">
                  <c:v>44992</c:v>
                </c:pt>
                <c:pt idx="692">
                  <c:v>44993</c:v>
                </c:pt>
                <c:pt idx="693">
                  <c:v>44994</c:v>
                </c:pt>
                <c:pt idx="694">
                  <c:v>44995</c:v>
                </c:pt>
                <c:pt idx="695">
                  <c:v>44998</c:v>
                </c:pt>
                <c:pt idx="696">
                  <c:v>44999</c:v>
                </c:pt>
                <c:pt idx="697">
                  <c:v>45000</c:v>
                </c:pt>
                <c:pt idx="698">
                  <c:v>45001</c:v>
                </c:pt>
                <c:pt idx="699">
                  <c:v>45002</c:v>
                </c:pt>
                <c:pt idx="700">
                  <c:v>45005</c:v>
                </c:pt>
                <c:pt idx="701">
                  <c:v>45006</c:v>
                </c:pt>
                <c:pt idx="702">
                  <c:v>45007</c:v>
                </c:pt>
                <c:pt idx="703">
                  <c:v>45008</c:v>
                </c:pt>
                <c:pt idx="704">
                  <c:v>45009</c:v>
                </c:pt>
                <c:pt idx="705">
                  <c:v>45012</c:v>
                </c:pt>
                <c:pt idx="706">
                  <c:v>45013</c:v>
                </c:pt>
                <c:pt idx="707">
                  <c:v>45014</c:v>
                </c:pt>
                <c:pt idx="708">
                  <c:v>45015</c:v>
                </c:pt>
                <c:pt idx="709">
                  <c:v>45016</c:v>
                </c:pt>
                <c:pt idx="710">
                  <c:v>45019</c:v>
                </c:pt>
                <c:pt idx="711">
                  <c:v>45020</c:v>
                </c:pt>
                <c:pt idx="712">
                  <c:v>45021</c:v>
                </c:pt>
                <c:pt idx="713">
                  <c:v>45022</c:v>
                </c:pt>
                <c:pt idx="714">
                  <c:v>45026</c:v>
                </c:pt>
                <c:pt idx="715">
                  <c:v>45027</c:v>
                </c:pt>
                <c:pt idx="716">
                  <c:v>45028</c:v>
                </c:pt>
                <c:pt idx="717">
                  <c:v>45029</c:v>
                </c:pt>
                <c:pt idx="718">
                  <c:v>45030</c:v>
                </c:pt>
                <c:pt idx="719">
                  <c:v>45033</c:v>
                </c:pt>
                <c:pt idx="720">
                  <c:v>45034</c:v>
                </c:pt>
                <c:pt idx="721">
                  <c:v>45035</c:v>
                </c:pt>
                <c:pt idx="722">
                  <c:v>45036</c:v>
                </c:pt>
                <c:pt idx="723">
                  <c:v>45037</c:v>
                </c:pt>
                <c:pt idx="724">
                  <c:v>45040</c:v>
                </c:pt>
                <c:pt idx="725">
                  <c:v>45041</c:v>
                </c:pt>
                <c:pt idx="726">
                  <c:v>45042</c:v>
                </c:pt>
                <c:pt idx="727">
                  <c:v>45043</c:v>
                </c:pt>
                <c:pt idx="728">
                  <c:v>45044</c:v>
                </c:pt>
                <c:pt idx="729">
                  <c:v>45047</c:v>
                </c:pt>
                <c:pt idx="730">
                  <c:v>45048</c:v>
                </c:pt>
                <c:pt idx="731">
                  <c:v>45049</c:v>
                </c:pt>
                <c:pt idx="732">
                  <c:v>45050</c:v>
                </c:pt>
                <c:pt idx="733">
                  <c:v>45051</c:v>
                </c:pt>
                <c:pt idx="734">
                  <c:v>45054</c:v>
                </c:pt>
                <c:pt idx="735">
                  <c:v>45055</c:v>
                </c:pt>
                <c:pt idx="736">
                  <c:v>45056</c:v>
                </c:pt>
                <c:pt idx="737">
                  <c:v>45057</c:v>
                </c:pt>
                <c:pt idx="738">
                  <c:v>45058</c:v>
                </c:pt>
                <c:pt idx="739">
                  <c:v>45061</c:v>
                </c:pt>
                <c:pt idx="740">
                  <c:v>45062</c:v>
                </c:pt>
                <c:pt idx="741">
                  <c:v>45063</c:v>
                </c:pt>
                <c:pt idx="742">
                  <c:v>45064</c:v>
                </c:pt>
                <c:pt idx="743">
                  <c:v>45065</c:v>
                </c:pt>
                <c:pt idx="744">
                  <c:v>45068</c:v>
                </c:pt>
                <c:pt idx="745">
                  <c:v>45069</c:v>
                </c:pt>
                <c:pt idx="746">
                  <c:v>45070</c:v>
                </c:pt>
                <c:pt idx="747">
                  <c:v>45071</c:v>
                </c:pt>
                <c:pt idx="748">
                  <c:v>45072</c:v>
                </c:pt>
                <c:pt idx="749">
                  <c:v>45076</c:v>
                </c:pt>
                <c:pt idx="750">
                  <c:v>45077</c:v>
                </c:pt>
                <c:pt idx="751">
                  <c:v>45078</c:v>
                </c:pt>
                <c:pt idx="752">
                  <c:v>45079</c:v>
                </c:pt>
                <c:pt idx="753">
                  <c:v>45082</c:v>
                </c:pt>
                <c:pt idx="754">
                  <c:v>45083</c:v>
                </c:pt>
                <c:pt idx="755">
                  <c:v>45084</c:v>
                </c:pt>
                <c:pt idx="756">
                  <c:v>45085</c:v>
                </c:pt>
                <c:pt idx="757">
                  <c:v>45086</c:v>
                </c:pt>
                <c:pt idx="758">
                  <c:v>45089</c:v>
                </c:pt>
                <c:pt idx="759">
                  <c:v>45090</c:v>
                </c:pt>
                <c:pt idx="760">
                  <c:v>45091</c:v>
                </c:pt>
                <c:pt idx="761">
                  <c:v>45092</c:v>
                </c:pt>
                <c:pt idx="762">
                  <c:v>45093</c:v>
                </c:pt>
                <c:pt idx="763">
                  <c:v>45097</c:v>
                </c:pt>
                <c:pt idx="764">
                  <c:v>45098</c:v>
                </c:pt>
                <c:pt idx="765">
                  <c:v>45099</c:v>
                </c:pt>
                <c:pt idx="766">
                  <c:v>45100</c:v>
                </c:pt>
                <c:pt idx="767">
                  <c:v>45103</c:v>
                </c:pt>
                <c:pt idx="768">
                  <c:v>45104</c:v>
                </c:pt>
                <c:pt idx="769">
                  <c:v>45105</c:v>
                </c:pt>
                <c:pt idx="770">
                  <c:v>45106</c:v>
                </c:pt>
                <c:pt idx="771">
                  <c:v>45107</c:v>
                </c:pt>
                <c:pt idx="772">
                  <c:v>45110</c:v>
                </c:pt>
                <c:pt idx="773">
                  <c:v>45112</c:v>
                </c:pt>
                <c:pt idx="774">
                  <c:v>45113</c:v>
                </c:pt>
                <c:pt idx="775">
                  <c:v>45114</c:v>
                </c:pt>
                <c:pt idx="776">
                  <c:v>45117</c:v>
                </c:pt>
                <c:pt idx="777">
                  <c:v>45118</c:v>
                </c:pt>
                <c:pt idx="778">
                  <c:v>45119</c:v>
                </c:pt>
                <c:pt idx="779">
                  <c:v>45120</c:v>
                </c:pt>
                <c:pt idx="780">
                  <c:v>45121</c:v>
                </c:pt>
                <c:pt idx="781">
                  <c:v>45124</c:v>
                </c:pt>
                <c:pt idx="782">
                  <c:v>45125</c:v>
                </c:pt>
                <c:pt idx="783">
                  <c:v>45126</c:v>
                </c:pt>
                <c:pt idx="784">
                  <c:v>45127</c:v>
                </c:pt>
                <c:pt idx="785">
                  <c:v>45128</c:v>
                </c:pt>
                <c:pt idx="786">
                  <c:v>45131</c:v>
                </c:pt>
                <c:pt idx="787">
                  <c:v>45132</c:v>
                </c:pt>
                <c:pt idx="788">
                  <c:v>45133</c:v>
                </c:pt>
                <c:pt idx="789">
                  <c:v>45134</c:v>
                </c:pt>
                <c:pt idx="790">
                  <c:v>45135</c:v>
                </c:pt>
                <c:pt idx="791">
                  <c:v>45138</c:v>
                </c:pt>
                <c:pt idx="792">
                  <c:v>45139</c:v>
                </c:pt>
                <c:pt idx="793">
                  <c:v>45140</c:v>
                </c:pt>
                <c:pt idx="794">
                  <c:v>45141</c:v>
                </c:pt>
                <c:pt idx="795">
                  <c:v>45142</c:v>
                </c:pt>
                <c:pt idx="796">
                  <c:v>45145</c:v>
                </c:pt>
                <c:pt idx="797">
                  <c:v>45146</c:v>
                </c:pt>
                <c:pt idx="798">
                  <c:v>45147</c:v>
                </c:pt>
                <c:pt idx="799">
                  <c:v>45148</c:v>
                </c:pt>
                <c:pt idx="800">
                  <c:v>45149</c:v>
                </c:pt>
                <c:pt idx="801">
                  <c:v>45152</c:v>
                </c:pt>
                <c:pt idx="802">
                  <c:v>45153</c:v>
                </c:pt>
                <c:pt idx="803">
                  <c:v>45154</c:v>
                </c:pt>
                <c:pt idx="804">
                  <c:v>45155</c:v>
                </c:pt>
                <c:pt idx="805">
                  <c:v>45156</c:v>
                </c:pt>
                <c:pt idx="806">
                  <c:v>45159</c:v>
                </c:pt>
                <c:pt idx="807">
                  <c:v>45160</c:v>
                </c:pt>
                <c:pt idx="808">
                  <c:v>45161</c:v>
                </c:pt>
                <c:pt idx="809">
                  <c:v>45162</c:v>
                </c:pt>
                <c:pt idx="810">
                  <c:v>45163</c:v>
                </c:pt>
                <c:pt idx="811">
                  <c:v>45166</c:v>
                </c:pt>
                <c:pt idx="812">
                  <c:v>45167</c:v>
                </c:pt>
                <c:pt idx="813">
                  <c:v>45168</c:v>
                </c:pt>
                <c:pt idx="814">
                  <c:v>45169</c:v>
                </c:pt>
                <c:pt idx="815">
                  <c:v>45170</c:v>
                </c:pt>
                <c:pt idx="816">
                  <c:v>45174</c:v>
                </c:pt>
                <c:pt idx="817">
                  <c:v>45175</c:v>
                </c:pt>
                <c:pt idx="818">
                  <c:v>45176</c:v>
                </c:pt>
                <c:pt idx="819">
                  <c:v>45177</c:v>
                </c:pt>
                <c:pt idx="820">
                  <c:v>45180</c:v>
                </c:pt>
                <c:pt idx="821">
                  <c:v>45181</c:v>
                </c:pt>
                <c:pt idx="822">
                  <c:v>45182</c:v>
                </c:pt>
                <c:pt idx="823">
                  <c:v>45183</c:v>
                </c:pt>
                <c:pt idx="824">
                  <c:v>45184</c:v>
                </c:pt>
                <c:pt idx="825">
                  <c:v>45187</c:v>
                </c:pt>
                <c:pt idx="826">
                  <c:v>45188</c:v>
                </c:pt>
                <c:pt idx="827">
                  <c:v>45189</c:v>
                </c:pt>
                <c:pt idx="828">
                  <c:v>45190</c:v>
                </c:pt>
                <c:pt idx="829">
                  <c:v>45191</c:v>
                </c:pt>
                <c:pt idx="830">
                  <c:v>45194</c:v>
                </c:pt>
                <c:pt idx="831">
                  <c:v>45195</c:v>
                </c:pt>
                <c:pt idx="832">
                  <c:v>45196</c:v>
                </c:pt>
                <c:pt idx="833">
                  <c:v>45197</c:v>
                </c:pt>
                <c:pt idx="834">
                  <c:v>45198</c:v>
                </c:pt>
                <c:pt idx="835">
                  <c:v>45201</c:v>
                </c:pt>
                <c:pt idx="836">
                  <c:v>45202</c:v>
                </c:pt>
                <c:pt idx="837">
                  <c:v>45203</c:v>
                </c:pt>
                <c:pt idx="838">
                  <c:v>45204</c:v>
                </c:pt>
                <c:pt idx="839">
                  <c:v>45205</c:v>
                </c:pt>
                <c:pt idx="840">
                  <c:v>45208</c:v>
                </c:pt>
                <c:pt idx="841">
                  <c:v>45209</c:v>
                </c:pt>
                <c:pt idx="842">
                  <c:v>45210</c:v>
                </c:pt>
                <c:pt idx="843">
                  <c:v>45211</c:v>
                </c:pt>
                <c:pt idx="844">
                  <c:v>45212</c:v>
                </c:pt>
                <c:pt idx="845">
                  <c:v>45215</c:v>
                </c:pt>
                <c:pt idx="846">
                  <c:v>45216</c:v>
                </c:pt>
                <c:pt idx="847">
                  <c:v>45217</c:v>
                </c:pt>
                <c:pt idx="848">
                  <c:v>45218</c:v>
                </c:pt>
                <c:pt idx="849">
                  <c:v>45219</c:v>
                </c:pt>
                <c:pt idx="850">
                  <c:v>45222</c:v>
                </c:pt>
                <c:pt idx="851">
                  <c:v>45223</c:v>
                </c:pt>
                <c:pt idx="852">
                  <c:v>45224</c:v>
                </c:pt>
                <c:pt idx="853">
                  <c:v>45225</c:v>
                </c:pt>
                <c:pt idx="854">
                  <c:v>45226</c:v>
                </c:pt>
                <c:pt idx="855">
                  <c:v>45229</c:v>
                </c:pt>
                <c:pt idx="856">
                  <c:v>45230</c:v>
                </c:pt>
                <c:pt idx="857">
                  <c:v>45231</c:v>
                </c:pt>
                <c:pt idx="858">
                  <c:v>45232</c:v>
                </c:pt>
                <c:pt idx="859">
                  <c:v>45233</c:v>
                </c:pt>
                <c:pt idx="860">
                  <c:v>45236</c:v>
                </c:pt>
                <c:pt idx="861">
                  <c:v>45237</c:v>
                </c:pt>
                <c:pt idx="862">
                  <c:v>45238</c:v>
                </c:pt>
                <c:pt idx="863">
                  <c:v>45239</c:v>
                </c:pt>
                <c:pt idx="864">
                  <c:v>45240</c:v>
                </c:pt>
                <c:pt idx="865">
                  <c:v>45243</c:v>
                </c:pt>
                <c:pt idx="866">
                  <c:v>45244</c:v>
                </c:pt>
                <c:pt idx="867">
                  <c:v>45245</c:v>
                </c:pt>
                <c:pt idx="868">
                  <c:v>45246</c:v>
                </c:pt>
                <c:pt idx="869">
                  <c:v>45247</c:v>
                </c:pt>
                <c:pt idx="870">
                  <c:v>45250</c:v>
                </c:pt>
                <c:pt idx="871">
                  <c:v>45251</c:v>
                </c:pt>
                <c:pt idx="872">
                  <c:v>45252</c:v>
                </c:pt>
                <c:pt idx="873">
                  <c:v>45254</c:v>
                </c:pt>
                <c:pt idx="874">
                  <c:v>45257</c:v>
                </c:pt>
                <c:pt idx="875">
                  <c:v>45258</c:v>
                </c:pt>
                <c:pt idx="876">
                  <c:v>45259</c:v>
                </c:pt>
                <c:pt idx="877">
                  <c:v>45260</c:v>
                </c:pt>
                <c:pt idx="878">
                  <c:v>45261</c:v>
                </c:pt>
                <c:pt idx="879">
                  <c:v>45264</c:v>
                </c:pt>
                <c:pt idx="880">
                  <c:v>45265</c:v>
                </c:pt>
                <c:pt idx="881">
                  <c:v>45266</c:v>
                </c:pt>
                <c:pt idx="882">
                  <c:v>45267</c:v>
                </c:pt>
                <c:pt idx="883">
                  <c:v>45268</c:v>
                </c:pt>
                <c:pt idx="884">
                  <c:v>45271</c:v>
                </c:pt>
                <c:pt idx="885">
                  <c:v>45272</c:v>
                </c:pt>
                <c:pt idx="886">
                  <c:v>45273</c:v>
                </c:pt>
                <c:pt idx="887">
                  <c:v>45274</c:v>
                </c:pt>
                <c:pt idx="888">
                  <c:v>45275</c:v>
                </c:pt>
                <c:pt idx="889">
                  <c:v>45278</c:v>
                </c:pt>
                <c:pt idx="890">
                  <c:v>45279</c:v>
                </c:pt>
                <c:pt idx="891">
                  <c:v>45280</c:v>
                </c:pt>
                <c:pt idx="892">
                  <c:v>45281</c:v>
                </c:pt>
                <c:pt idx="893">
                  <c:v>45282</c:v>
                </c:pt>
                <c:pt idx="894">
                  <c:v>45286</c:v>
                </c:pt>
                <c:pt idx="895">
                  <c:v>45287</c:v>
                </c:pt>
                <c:pt idx="896">
                  <c:v>45288</c:v>
                </c:pt>
                <c:pt idx="897">
                  <c:v>45289</c:v>
                </c:pt>
                <c:pt idx="898">
                  <c:v>45293</c:v>
                </c:pt>
                <c:pt idx="899">
                  <c:v>45294</c:v>
                </c:pt>
                <c:pt idx="900">
                  <c:v>45295</c:v>
                </c:pt>
                <c:pt idx="901">
                  <c:v>45296</c:v>
                </c:pt>
                <c:pt idx="902">
                  <c:v>45299</c:v>
                </c:pt>
                <c:pt idx="903">
                  <c:v>45300</c:v>
                </c:pt>
                <c:pt idx="904">
                  <c:v>45301</c:v>
                </c:pt>
                <c:pt idx="905">
                  <c:v>45302</c:v>
                </c:pt>
                <c:pt idx="906">
                  <c:v>45303</c:v>
                </c:pt>
                <c:pt idx="907">
                  <c:v>45307</c:v>
                </c:pt>
                <c:pt idx="908">
                  <c:v>45308</c:v>
                </c:pt>
                <c:pt idx="909">
                  <c:v>45309</c:v>
                </c:pt>
                <c:pt idx="910">
                  <c:v>45310</c:v>
                </c:pt>
                <c:pt idx="911">
                  <c:v>45313</c:v>
                </c:pt>
                <c:pt idx="912">
                  <c:v>45314</c:v>
                </c:pt>
                <c:pt idx="913">
                  <c:v>45315</c:v>
                </c:pt>
                <c:pt idx="914">
                  <c:v>45316</c:v>
                </c:pt>
                <c:pt idx="915">
                  <c:v>45317</c:v>
                </c:pt>
                <c:pt idx="916">
                  <c:v>45320</c:v>
                </c:pt>
                <c:pt idx="917">
                  <c:v>45321</c:v>
                </c:pt>
                <c:pt idx="918">
                  <c:v>45322</c:v>
                </c:pt>
                <c:pt idx="919">
                  <c:v>45323</c:v>
                </c:pt>
                <c:pt idx="920">
                  <c:v>45324</c:v>
                </c:pt>
                <c:pt idx="921">
                  <c:v>45327</c:v>
                </c:pt>
                <c:pt idx="922">
                  <c:v>45328</c:v>
                </c:pt>
                <c:pt idx="923">
                  <c:v>45329</c:v>
                </c:pt>
                <c:pt idx="924">
                  <c:v>45330</c:v>
                </c:pt>
                <c:pt idx="925">
                  <c:v>45331</c:v>
                </c:pt>
                <c:pt idx="926">
                  <c:v>45334</c:v>
                </c:pt>
                <c:pt idx="927">
                  <c:v>45335</c:v>
                </c:pt>
                <c:pt idx="928">
                  <c:v>45336</c:v>
                </c:pt>
                <c:pt idx="929">
                  <c:v>45337</c:v>
                </c:pt>
                <c:pt idx="930">
                  <c:v>45338</c:v>
                </c:pt>
                <c:pt idx="931">
                  <c:v>45342</c:v>
                </c:pt>
                <c:pt idx="932">
                  <c:v>45343</c:v>
                </c:pt>
                <c:pt idx="933">
                  <c:v>45344</c:v>
                </c:pt>
                <c:pt idx="934">
                  <c:v>45345</c:v>
                </c:pt>
                <c:pt idx="935">
                  <c:v>45348</c:v>
                </c:pt>
                <c:pt idx="936">
                  <c:v>45349</c:v>
                </c:pt>
                <c:pt idx="937">
                  <c:v>45350</c:v>
                </c:pt>
                <c:pt idx="938">
                  <c:v>45351</c:v>
                </c:pt>
                <c:pt idx="939">
                  <c:v>45352</c:v>
                </c:pt>
                <c:pt idx="940">
                  <c:v>45355</c:v>
                </c:pt>
                <c:pt idx="941">
                  <c:v>45356</c:v>
                </c:pt>
                <c:pt idx="942">
                  <c:v>45357</c:v>
                </c:pt>
                <c:pt idx="943">
                  <c:v>45358</c:v>
                </c:pt>
                <c:pt idx="944">
                  <c:v>45359</c:v>
                </c:pt>
                <c:pt idx="945">
                  <c:v>45362</c:v>
                </c:pt>
                <c:pt idx="946">
                  <c:v>45363</c:v>
                </c:pt>
                <c:pt idx="947">
                  <c:v>45364</c:v>
                </c:pt>
                <c:pt idx="948">
                  <c:v>45365</c:v>
                </c:pt>
                <c:pt idx="949">
                  <c:v>45366</c:v>
                </c:pt>
                <c:pt idx="950">
                  <c:v>45369</c:v>
                </c:pt>
                <c:pt idx="951">
                  <c:v>45370</c:v>
                </c:pt>
                <c:pt idx="952">
                  <c:v>45371</c:v>
                </c:pt>
                <c:pt idx="953">
                  <c:v>45372</c:v>
                </c:pt>
                <c:pt idx="954">
                  <c:v>45373</c:v>
                </c:pt>
                <c:pt idx="955">
                  <c:v>45376</c:v>
                </c:pt>
                <c:pt idx="956">
                  <c:v>45377</c:v>
                </c:pt>
                <c:pt idx="957">
                  <c:v>45378</c:v>
                </c:pt>
                <c:pt idx="958">
                  <c:v>45379</c:v>
                </c:pt>
                <c:pt idx="959">
                  <c:v>45383</c:v>
                </c:pt>
                <c:pt idx="960">
                  <c:v>45384</c:v>
                </c:pt>
                <c:pt idx="961">
                  <c:v>45385</c:v>
                </c:pt>
                <c:pt idx="962">
                  <c:v>45386</c:v>
                </c:pt>
                <c:pt idx="963">
                  <c:v>45387</c:v>
                </c:pt>
                <c:pt idx="964">
                  <c:v>45390</c:v>
                </c:pt>
                <c:pt idx="965">
                  <c:v>45391</c:v>
                </c:pt>
                <c:pt idx="966">
                  <c:v>45392</c:v>
                </c:pt>
                <c:pt idx="967">
                  <c:v>45393</c:v>
                </c:pt>
                <c:pt idx="968">
                  <c:v>45394</c:v>
                </c:pt>
                <c:pt idx="969">
                  <c:v>45397</c:v>
                </c:pt>
                <c:pt idx="970">
                  <c:v>45398</c:v>
                </c:pt>
                <c:pt idx="971">
                  <c:v>45399</c:v>
                </c:pt>
                <c:pt idx="972">
                  <c:v>45400</c:v>
                </c:pt>
                <c:pt idx="973">
                  <c:v>45401</c:v>
                </c:pt>
                <c:pt idx="974">
                  <c:v>45404</c:v>
                </c:pt>
                <c:pt idx="975">
                  <c:v>45405</c:v>
                </c:pt>
                <c:pt idx="976">
                  <c:v>45406</c:v>
                </c:pt>
                <c:pt idx="977">
                  <c:v>45407</c:v>
                </c:pt>
                <c:pt idx="978">
                  <c:v>45408</c:v>
                </c:pt>
                <c:pt idx="979">
                  <c:v>45411</c:v>
                </c:pt>
                <c:pt idx="980">
                  <c:v>45412</c:v>
                </c:pt>
                <c:pt idx="981">
                  <c:v>45413</c:v>
                </c:pt>
                <c:pt idx="982">
                  <c:v>45414</c:v>
                </c:pt>
                <c:pt idx="983">
                  <c:v>45415</c:v>
                </c:pt>
                <c:pt idx="984">
                  <c:v>45418</c:v>
                </c:pt>
                <c:pt idx="985">
                  <c:v>45419</c:v>
                </c:pt>
                <c:pt idx="986">
                  <c:v>45420</c:v>
                </c:pt>
                <c:pt idx="987">
                  <c:v>45421</c:v>
                </c:pt>
                <c:pt idx="988">
                  <c:v>45422</c:v>
                </c:pt>
                <c:pt idx="989">
                  <c:v>45425</c:v>
                </c:pt>
                <c:pt idx="990">
                  <c:v>45426</c:v>
                </c:pt>
                <c:pt idx="991">
                  <c:v>45427</c:v>
                </c:pt>
                <c:pt idx="992">
                  <c:v>45428</c:v>
                </c:pt>
                <c:pt idx="993">
                  <c:v>45429</c:v>
                </c:pt>
                <c:pt idx="994">
                  <c:v>45432</c:v>
                </c:pt>
                <c:pt idx="995">
                  <c:v>45433</c:v>
                </c:pt>
                <c:pt idx="996">
                  <c:v>45434</c:v>
                </c:pt>
                <c:pt idx="997">
                  <c:v>45435</c:v>
                </c:pt>
                <c:pt idx="998">
                  <c:v>45436</c:v>
                </c:pt>
                <c:pt idx="999">
                  <c:v>45440</c:v>
                </c:pt>
                <c:pt idx="1000">
                  <c:v>45441</c:v>
                </c:pt>
                <c:pt idx="1001">
                  <c:v>45442</c:v>
                </c:pt>
                <c:pt idx="1002">
                  <c:v>45443</c:v>
                </c:pt>
                <c:pt idx="1003">
                  <c:v>45446</c:v>
                </c:pt>
                <c:pt idx="1004">
                  <c:v>45447</c:v>
                </c:pt>
                <c:pt idx="1005">
                  <c:v>45448</c:v>
                </c:pt>
                <c:pt idx="1006">
                  <c:v>45449</c:v>
                </c:pt>
                <c:pt idx="1007">
                  <c:v>45450</c:v>
                </c:pt>
                <c:pt idx="1008">
                  <c:v>45453</c:v>
                </c:pt>
                <c:pt idx="1009">
                  <c:v>45454</c:v>
                </c:pt>
                <c:pt idx="1010">
                  <c:v>45455</c:v>
                </c:pt>
                <c:pt idx="1011">
                  <c:v>45456</c:v>
                </c:pt>
                <c:pt idx="1012">
                  <c:v>45457</c:v>
                </c:pt>
                <c:pt idx="1013">
                  <c:v>45460</c:v>
                </c:pt>
                <c:pt idx="1014">
                  <c:v>45461</c:v>
                </c:pt>
                <c:pt idx="1015">
                  <c:v>45463</c:v>
                </c:pt>
                <c:pt idx="1016">
                  <c:v>45464</c:v>
                </c:pt>
                <c:pt idx="1017">
                  <c:v>45467</c:v>
                </c:pt>
                <c:pt idx="1018">
                  <c:v>45468</c:v>
                </c:pt>
                <c:pt idx="1019">
                  <c:v>45469</c:v>
                </c:pt>
                <c:pt idx="1020">
                  <c:v>45470</c:v>
                </c:pt>
                <c:pt idx="1021">
                  <c:v>45471</c:v>
                </c:pt>
                <c:pt idx="1022">
                  <c:v>45474</c:v>
                </c:pt>
                <c:pt idx="1023">
                  <c:v>45475</c:v>
                </c:pt>
                <c:pt idx="1024">
                  <c:v>45476</c:v>
                </c:pt>
                <c:pt idx="1025">
                  <c:v>45478</c:v>
                </c:pt>
                <c:pt idx="1026">
                  <c:v>45481</c:v>
                </c:pt>
                <c:pt idx="1027">
                  <c:v>45482</c:v>
                </c:pt>
                <c:pt idx="1028">
                  <c:v>45483</c:v>
                </c:pt>
                <c:pt idx="1029">
                  <c:v>45484</c:v>
                </c:pt>
                <c:pt idx="1030">
                  <c:v>45485</c:v>
                </c:pt>
                <c:pt idx="1031">
                  <c:v>45488</c:v>
                </c:pt>
                <c:pt idx="1032">
                  <c:v>45489</c:v>
                </c:pt>
                <c:pt idx="1033">
                  <c:v>45490</c:v>
                </c:pt>
                <c:pt idx="1034">
                  <c:v>45491</c:v>
                </c:pt>
                <c:pt idx="1035">
                  <c:v>45492</c:v>
                </c:pt>
                <c:pt idx="1036">
                  <c:v>45495</c:v>
                </c:pt>
                <c:pt idx="1037">
                  <c:v>45496</c:v>
                </c:pt>
                <c:pt idx="1038">
                  <c:v>45497</c:v>
                </c:pt>
                <c:pt idx="1039">
                  <c:v>45498</c:v>
                </c:pt>
                <c:pt idx="1040">
                  <c:v>45499</c:v>
                </c:pt>
                <c:pt idx="1041">
                  <c:v>45502</c:v>
                </c:pt>
                <c:pt idx="1042">
                  <c:v>45503</c:v>
                </c:pt>
                <c:pt idx="1043">
                  <c:v>45504</c:v>
                </c:pt>
                <c:pt idx="1044">
                  <c:v>45505</c:v>
                </c:pt>
                <c:pt idx="1045">
                  <c:v>45506</c:v>
                </c:pt>
                <c:pt idx="1046">
                  <c:v>45509</c:v>
                </c:pt>
                <c:pt idx="1047">
                  <c:v>45510</c:v>
                </c:pt>
                <c:pt idx="1048">
                  <c:v>45511</c:v>
                </c:pt>
                <c:pt idx="1049">
                  <c:v>45512</c:v>
                </c:pt>
                <c:pt idx="1050">
                  <c:v>45513</c:v>
                </c:pt>
                <c:pt idx="1051">
                  <c:v>45516</c:v>
                </c:pt>
                <c:pt idx="1052">
                  <c:v>45517</c:v>
                </c:pt>
                <c:pt idx="1053">
                  <c:v>45518</c:v>
                </c:pt>
                <c:pt idx="1054">
                  <c:v>45519</c:v>
                </c:pt>
                <c:pt idx="1055">
                  <c:v>45520</c:v>
                </c:pt>
                <c:pt idx="1056">
                  <c:v>45523</c:v>
                </c:pt>
                <c:pt idx="1057">
                  <c:v>45524</c:v>
                </c:pt>
                <c:pt idx="1058">
                  <c:v>45525</c:v>
                </c:pt>
                <c:pt idx="1059">
                  <c:v>45526</c:v>
                </c:pt>
                <c:pt idx="1060">
                  <c:v>45527</c:v>
                </c:pt>
                <c:pt idx="1061">
                  <c:v>45530</c:v>
                </c:pt>
                <c:pt idx="1062">
                  <c:v>45531</c:v>
                </c:pt>
                <c:pt idx="1063">
                  <c:v>45532</c:v>
                </c:pt>
                <c:pt idx="1064">
                  <c:v>45533</c:v>
                </c:pt>
                <c:pt idx="1065">
                  <c:v>45534</c:v>
                </c:pt>
                <c:pt idx="1066">
                  <c:v>45538</c:v>
                </c:pt>
                <c:pt idx="1067">
                  <c:v>45539</c:v>
                </c:pt>
                <c:pt idx="1068">
                  <c:v>45540</c:v>
                </c:pt>
                <c:pt idx="1069">
                  <c:v>45541</c:v>
                </c:pt>
                <c:pt idx="1070">
                  <c:v>45544</c:v>
                </c:pt>
                <c:pt idx="1071">
                  <c:v>45545</c:v>
                </c:pt>
                <c:pt idx="1072">
                  <c:v>45546</c:v>
                </c:pt>
                <c:pt idx="1073">
                  <c:v>45547</c:v>
                </c:pt>
                <c:pt idx="1074">
                  <c:v>45548</c:v>
                </c:pt>
                <c:pt idx="1075">
                  <c:v>45551</c:v>
                </c:pt>
                <c:pt idx="1076">
                  <c:v>45552</c:v>
                </c:pt>
                <c:pt idx="1077">
                  <c:v>45553</c:v>
                </c:pt>
                <c:pt idx="1078">
                  <c:v>45554</c:v>
                </c:pt>
                <c:pt idx="1079">
                  <c:v>45555</c:v>
                </c:pt>
                <c:pt idx="1080">
                  <c:v>45558</c:v>
                </c:pt>
                <c:pt idx="1081">
                  <c:v>45559</c:v>
                </c:pt>
                <c:pt idx="1082">
                  <c:v>45560</c:v>
                </c:pt>
                <c:pt idx="1083">
                  <c:v>45561</c:v>
                </c:pt>
                <c:pt idx="1084">
                  <c:v>45562</c:v>
                </c:pt>
                <c:pt idx="1085">
                  <c:v>45565</c:v>
                </c:pt>
                <c:pt idx="1086">
                  <c:v>45566</c:v>
                </c:pt>
                <c:pt idx="1087">
                  <c:v>45567</c:v>
                </c:pt>
                <c:pt idx="1088">
                  <c:v>45568</c:v>
                </c:pt>
                <c:pt idx="1089">
                  <c:v>45569</c:v>
                </c:pt>
                <c:pt idx="1090">
                  <c:v>45572</c:v>
                </c:pt>
                <c:pt idx="1091">
                  <c:v>45573</c:v>
                </c:pt>
                <c:pt idx="1092">
                  <c:v>45574</c:v>
                </c:pt>
                <c:pt idx="1093">
                  <c:v>45575</c:v>
                </c:pt>
                <c:pt idx="1094">
                  <c:v>45576</c:v>
                </c:pt>
                <c:pt idx="1095">
                  <c:v>45579</c:v>
                </c:pt>
                <c:pt idx="1096">
                  <c:v>45580</c:v>
                </c:pt>
                <c:pt idx="1097">
                  <c:v>45581</c:v>
                </c:pt>
                <c:pt idx="1098">
                  <c:v>45582</c:v>
                </c:pt>
                <c:pt idx="1099">
                  <c:v>45583</c:v>
                </c:pt>
                <c:pt idx="1100">
                  <c:v>45586</c:v>
                </c:pt>
                <c:pt idx="1101">
                  <c:v>45587</c:v>
                </c:pt>
                <c:pt idx="1102">
                  <c:v>45588</c:v>
                </c:pt>
                <c:pt idx="1103">
                  <c:v>45589</c:v>
                </c:pt>
                <c:pt idx="1104">
                  <c:v>45590</c:v>
                </c:pt>
                <c:pt idx="1105">
                  <c:v>45593</c:v>
                </c:pt>
                <c:pt idx="1106">
                  <c:v>45594</c:v>
                </c:pt>
                <c:pt idx="1107">
                  <c:v>45595</c:v>
                </c:pt>
                <c:pt idx="1108">
                  <c:v>45596</c:v>
                </c:pt>
                <c:pt idx="1109">
                  <c:v>45597</c:v>
                </c:pt>
                <c:pt idx="1110">
                  <c:v>45600</c:v>
                </c:pt>
                <c:pt idx="1111">
                  <c:v>45601</c:v>
                </c:pt>
                <c:pt idx="1112">
                  <c:v>45602</c:v>
                </c:pt>
                <c:pt idx="1113">
                  <c:v>45603</c:v>
                </c:pt>
                <c:pt idx="1114">
                  <c:v>45604</c:v>
                </c:pt>
                <c:pt idx="1115">
                  <c:v>45607</c:v>
                </c:pt>
                <c:pt idx="1116">
                  <c:v>45608</c:v>
                </c:pt>
                <c:pt idx="1117">
                  <c:v>45609</c:v>
                </c:pt>
                <c:pt idx="1118">
                  <c:v>45610</c:v>
                </c:pt>
                <c:pt idx="1119">
                  <c:v>45611</c:v>
                </c:pt>
                <c:pt idx="1120">
                  <c:v>45614</c:v>
                </c:pt>
                <c:pt idx="1121">
                  <c:v>45615</c:v>
                </c:pt>
                <c:pt idx="1122">
                  <c:v>45616</c:v>
                </c:pt>
                <c:pt idx="1123">
                  <c:v>45617</c:v>
                </c:pt>
                <c:pt idx="1124">
                  <c:v>45618</c:v>
                </c:pt>
                <c:pt idx="1125">
                  <c:v>45621</c:v>
                </c:pt>
                <c:pt idx="1126">
                  <c:v>45622</c:v>
                </c:pt>
                <c:pt idx="1127">
                  <c:v>45623</c:v>
                </c:pt>
                <c:pt idx="1128">
                  <c:v>45625</c:v>
                </c:pt>
                <c:pt idx="1129">
                  <c:v>45628</c:v>
                </c:pt>
                <c:pt idx="1130">
                  <c:v>45629</c:v>
                </c:pt>
                <c:pt idx="1131">
                  <c:v>45630</c:v>
                </c:pt>
                <c:pt idx="1132">
                  <c:v>45631</c:v>
                </c:pt>
                <c:pt idx="1133">
                  <c:v>45632</c:v>
                </c:pt>
                <c:pt idx="1134">
                  <c:v>45635</c:v>
                </c:pt>
                <c:pt idx="1135">
                  <c:v>45636</c:v>
                </c:pt>
                <c:pt idx="1136">
                  <c:v>45637</c:v>
                </c:pt>
                <c:pt idx="1137">
                  <c:v>45638</c:v>
                </c:pt>
                <c:pt idx="1138">
                  <c:v>45639</c:v>
                </c:pt>
                <c:pt idx="1139">
                  <c:v>45642</c:v>
                </c:pt>
                <c:pt idx="1140">
                  <c:v>45643</c:v>
                </c:pt>
                <c:pt idx="1141">
                  <c:v>45644</c:v>
                </c:pt>
                <c:pt idx="1142">
                  <c:v>45645</c:v>
                </c:pt>
                <c:pt idx="1143">
                  <c:v>45646</c:v>
                </c:pt>
                <c:pt idx="1144">
                  <c:v>45649</c:v>
                </c:pt>
                <c:pt idx="1145">
                  <c:v>45650</c:v>
                </c:pt>
                <c:pt idx="1146">
                  <c:v>45652</c:v>
                </c:pt>
                <c:pt idx="1147">
                  <c:v>45653</c:v>
                </c:pt>
                <c:pt idx="1148">
                  <c:v>45656</c:v>
                </c:pt>
                <c:pt idx="1149">
                  <c:v>45657</c:v>
                </c:pt>
                <c:pt idx="1150">
                  <c:v>45659</c:v>
                </c:pt>
                <c:pt idx="1151">
                  <c:v>45660</c:v>
                </c:pt>
                <c:pt idx="1152">
                  <c:v>45663</c:v>
                </c:pt>
                <c:pt idx="1153">
                  <c:v>45664</c:v>
                </c:pt>
                <c:pt idx="1154">
                  <c:v>45665</c:v>
                </c:pt>
                <c:pt idx="1155">
                  <c:v>45667</c:v>
                </c:pt>
                <c:pt idx="1156">
                  <c:v>45670</c:v>
                </c:pt>
                <c:pt idx="1157">
                  <c:v>45671</c:v>
                </c:pt>
                <c:pt idx="1158">
                  <c:v>45672</c:v>
                </c:pt>
                <c:pt idx="1159">
                  <c:v>45673</c:v>
                </c:pt>
                <c:pt idx="1160">
                  <c:v>45674</c:v>
                </c:pt>
                <c:pt idx="1161">
                  <c:v>45678</c:v>
                </c:pt>
                <c:pt idx="1162">
                  <c:v>45679</c:v>
                </c:pt>
                <c:pt idx="1163">
                  <c:v>45680</c:v>
                </c:pt>
                <c:pt idx="1164">
                  <c:v>45681</c:v>
                </c:pt>
                <c:pt idx="1165">
                  <c:v>45684</c:v>
                </c:pt>
                <c:pt idx="1166">
                  <c:v>45685</c:v>
                </c:pt>
                <c:pt idx="1167">
                  <c:v>45686</c:v>
                </c:pt>
                <c:pt idx="1168">
                  <c:v>45687</c:v>
                </c:pt>
                <c:pt idx="1169">
                  <c:v>45688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45706</c:v>
                </c:pt>
                <c:pt idx="1181">
                  <c:v>45707</c:v>
                </c:pt>
                <c:pt idx="1182">
                  <c:v>45708</c:v>
                </c:pt>
                <c:pt idx="1183">
                  <c:v>45709</c:v>
                </c:pt>
                <c:pt idx="1184">
                  <c:v>45712</c:v>
                </c:pt>
                <c:pt idx="1185">
                  <c:v>45713</c:v>
                </c:pt>
                <c:pt idx="1186">
                  <c:v>45714</c:v>
                </c:pt>
                <c:pt idx="1187">
                  <c:v>45715</c:v>
                </c:pt>
                <c:pt idx="1188">
                  <c:v>45716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45750</c:v>
                </c:pt>
                <c:pt idx="1213">
                  <c:v>45751</c:v>
                </c:pt>
                <c:pt idx="1214">
                  <c:v>45754</c:v>
                </c:pt>
                <c:pt idx="1215">
                  <c:v>45755</c:v>
                </c:pt>
                <c:pt idx="1216">
                  <c:v>45756</c:v>
                </c:pt>
                <c:pt idx="1217">
                  <c:v>45757</c:v>
                </c:pt>
                <c:pt idx="1218">
                  <c:v>45758</c:v>
                </c:pt>
                <c:pt idx="1219">
                  <c:v>45761</c:v>
                </c:pt>
                <c:pt idx="1220">
                  <c:v>45762</c:v>
                </c:pt>
                <c:pt idx="1221">
                  <c:v>45763</c:v>
                </c:pt>
                <c:pt idx="1222">
                  <c:v>45764</c:v>
                </c:pt>
                <c:pt idx="1223">
                  <c:v>45768</c:v>
                </c:pt>
                <c:pt idx="1224">
                  <c:v>45769</c:v>
                </c:pt>
                <c:pt idx="1225">
                  <c:v>45770</c:v>
                </c:pt>
                <c:pt idx="1226">
                  <c:v>45771</c:v>
                </c:pt>
                <c:pt idx="1227">
                  <c:v>45772</c:v>
                </c:pt>
                <c:pt idx="1228">
                  <c:v>45775</c:v>
                </c:pt>
                <c:pt idx="1229">
                  <c:v>45776</c:v>
                </c:pt>
                <c:pt idx="1230">
                  <c:v>45777</c:v>
                </c:pt>
                <c:pt idx="1231">
                  <c:v>45778</c:v>
                </c:pt>
                <c:pt idx="1232">
                  <c:v>45779</c:v>
                </c:pt>
                <c:pt idx="1233">
                  <c:v>45782</c:v>
                </c:pt>
                <c:pt idx="1234">
                  <c:v>45783</c:v>
                </c:pt>
                <c:pt idx="1235">
                  <c:v>45784</c:v>
                </c:pt>
                <c:pt idx="1236">
                  <c:v>45785</c:v>
                </c:pt>
                <c:pt idx="1237">
                  <c:v>45786</c:v>
                </c:pt>
                <c:pt idx="1238">
                  <c:v>45789</c:v>
                </c:pt>
                <c:pt idx="1239">
                  <c:v>45790</c:v>
                </c:pt>
                <c:pt idx="1240">
                  <c:v>45791</c:v>
                </c:pt>
                <c:pt idx="1241">
                  <c:v>45792</c:v>
                </c:pt>
                <c:pt idx="1242">
                  <c:v>45793</c:v>
                </c:pt>
                <c:pt idx="1243">
                  <c:v>45796</c:v>
                </c:pt>
                <c:pt idx="1244">
                  <c:v>45797</c:v>
                </c:pt>
                <c:pt idx="1245">
                  <c:v>45798</c:v>
                </c:pt>
                <c:pt idx="1246">
                  <c:v>45799</c:v>
                </c:pt>
                <c:pt idx="1247">
                  <c:v>45800</c:v>
                </c:pt>
                <c:pt idx="1248">
                  <c:v>45804</c:v>
                </c:pt>
                <c:pt idx="1249">
                  <c:v>45805</c:v>
                </c:pt>
                <c:pt idx="1250">
                  <c:v>45806</c:v>
                </c:pt>
                <c:pt idx="1251">
                  <c:v>45807</c:v>
                </c:pt>
                <c:pt idx="1252">
                  <c:v>45810</c:v>
                </c:pt>
                <c:pt idx="1253">
                  <c:v>45811</c:v>
                </c:pt>
                <c:pt idx="1254">
                  <c:v>45812</c:v>
                </c:pt>
                <c:pt idx="1255">
                  <c:v>45813</c:v>
                </c:pt>
                <c:pt idx="1256">
                  <c:v>45814</c:v>
                </c:pt>
              </c:numCache>
            </c:numRef>
          </c:cat>
          <c:val>
            <c:numRef>
              <c:f>'Share Price 5y'!$D$3:$D$1752</c:f>
              <c:numCache>
                <c:formatCode>General</c:formatCode>
                <c:ptCount val="1750"/>
                <c:pt idx="0">
                  <c:v>8.8770000000000007</c:v>
                </c:pt>
                <c:pt idx="1">
                  <c:v>8.8000000000000007</c:v>
                </c:pt>
                <c:pt idx="2">
                  <c:v>9.1679999999999993</c:v>
                </c:pt>
                <c:pt idx="3">
                  <c:v>9.15</c:v>
                </c:pt>
                <c:pt idx="4">
                  <c:v>9.1630000000000003</c:v>
                </c:pt>
                <c:pt idx="5">
                  <c:v>8.8149999999999995</c:v>
                </c:pt>
                <c:pt idx="6">
                  <c:v>9.2249999999999996</c:v>
                </c:pt>
                <c:pt idx="7">
                  <c:v>9.1140000000000008</c:v>
                </c:pt>
                <c:pt idx="8">
                  <c:v>9.2270000000000003</c:v>
                </c:pt>
                <c:pt idx="9">
                  <c:v>9.2430000000000003</c:v>
                </c:pt>
                <c:pt idx="10">
                  <c:v>9.3000000000000007</c:v>
                </c:pt>
                <c:pt idx="11">
                  <c:v>9.5510000000000002</c:v>
                </c:pt>
                <c:pt idx="12">
                  <c:v>9.4760000000000009</c:v>
                </c:pt>
                <c:pt idx="13">
                  <c:v>9.3559999999999999</c:v>
                </c:pt>
                <c:pt idx="14">
                  <c:v>9.5</c:v>
                </c:pt>
                <c:pt idx="15">
                  <c:v>9.17</c:v>
                </c:pt>
                <c:pt idx="16">
                  <c:v>9.3140000000000001</c:v>
                </c:pt>
                <c:pt idx="17">
                  <c:v>9.5210000000000008</c:v>
                </c:pt>
                <c:pt idx="18">
                  <c:v>9.6389999999999993</c:v>
                </c:pt>
                <c:pt idx="19">
                  <c:v>9.7420000000000009</c:v>
                </c:pt>
                <c:pt idx="20">
                  <c:v>9.9459999999999997</c:v>
                </c:pt>
                <c:pt idx="21">
                  <c:v>9.9939999999999998</c:v>
                </c:pt>
                <c:pt idx="22">
                  <c:v>10.38</c:v>
                </c:pt>
                <c:pt idx="23">
                  <c:v>10.589</c:v>
                </c:pt>
                <c:pt idx="24">
                  <c:v>10.595000000000001</c:v>
                </c:pt>
                <c:pt idx="25">
                  <c:v>10.074999999999999</c:v>
                </c:pt>
                <c:pt idx="26">
                  <c:v>10.414</c:v>
                </c:pt>
                <c:pt idx="27">
                  <c:v>10.015000000000001</c:v>
                </c:pt>
                <c:pt idx="28">
                  <c:v>10.226000000000001</c:v>
                </c:pt>
                <c:pt idx="29">
                  <c:v>10.273999999999999</c:v>
                </c:pt>
                <c:pt idx="30">
                  <c:v>10.513</c:v>
                </c:pt>
                <c:pt idx="31">
                  <c:v>10.368</c:v>
                </c:pt>
                <c:pt idx="32">
                  <c:v>10.45</c:v>
                </c:pt>
                <c:pt idx="33">
                  <c:v>9.875</c:v>
                </c:pt>
                <c:pt idx="34">
                  <c:v>10.231999999999999</c:v>
                </c:pt>
                <c:pt idx="35">
                  <c:v>10.374000000000001</c:v>
                </c:pt>
                <c:pt idx="36">
                  <c:v>10.391</c:v>
                </c:pt>
                <c:pt idx="37">
                  <c:v>10.375</c:v>
                </c:pt>
                <c:pt idx="38">
                  <c:v>10.563000000000001</c:v>
                </c:pt>
                <c:pt idx="39">
                  <c:v>10.733000000000001</c:v>
                </c:pt>
                <c:pt idx="40">
                  <c:v>11.05</c:v>
                </c:pt>
                <c:pt idx="41">
                  <c:v>11.244</c:v>
                </c:pt>
                <c:pt idx="42">
                  <c:v>11.35</c:v>
                </c:pt>
                <c:pt idx="43">
                  <c:v>11.313000000000001</c:v>
                </c:pt>
                <c:pt idx="44">
                  <c:v>11.334</c:v>
                </c:pt>
                <c:pt idx="45">
                  <c:v>11.074</c:v>
                </c:pt>
                <c:pt idx="46">
                  <c:v>10.991</c:v>
                </c:pt>
                <c:pt idx="47">
                  <c:v>11.545999999999999</c:v>
                </c:pt>
                <c:pt idx="48">
                  <c:v>11.53</c:v>
                </c:pt>
                <c:pt idx="49">
                  <c:v>11.851000000000001</c:v>
                </c:pt>
                <c:pt idx="50">
                  <c:v>12.45</c:v>
                </c:pt>
                <c:pt idx="51">
                  <c:v>12.297000000000001</c:v>
                </c:pt>
                <c:pt idx="52">
                  <c:v>11.975</c:v>
                </c:pt>
                <c:pt idx="53">
                  <c:v>12.202</c:v>
                </c:pt>
                <c:pt idx="54">
                  <c:v>12.884</c:v>
                </c:pt>
                <c:pt idx="55">
                  <c:v>12.631</c:v>
                </c:pt>
                <c:pt idx="56">
                  <c:v>12.798999999999999</c:v>
                </c:pt>
                <c:pt idx="57">
                  <c:v>12.782</c:v>
                </c:pt>
                <c:pt idx="58">
                  <c:v>12.675000000000001</c:v>
                </c:pt>
                <c:pt idx="59">
                  <c:v>13.183</c:v>
                </c:pt>
                <c:pt idx="60">
                  <c:v>13.48</c:v>
                </c:pt>
                <c:pt idx="61">
                  <c:v>14.704000000000001</c:v>
                </c:pt>
                <c:pt idx="62">
                  <c:v>13.829000000000001</c:v>
                </c:pt>
                <c:pt idx="63">
                  <c:v>12.784000000000001</c:v>
                </c:pt>
                <c:pt idx="64">
                  <c:v>11.734999999999999</c:v>
                </c:pt>
                <c:pt idx="65">
                  <c:v>12.4</c:v>
                </c:pt>
                <c:pt idx="66">
                  <c:v>12.989000000000001</c:v>
                </c:pt>
                <c:pt idx="67">
                  <c:v>12.486000000000001</c:v>
                </c:pt>
                <c:pt idx="68">
                  <c:v>13.081</c:v>
                </c:pt>
                <c:pt idx="69">
                  <c:v>13.28</c:v>
                </c:pt>
                <c:pt idx="70">
                  <c:v>12.957000000000001</c:v>
                </c:pt>
                <c:pt idx="71">
                  <c:v>12.132</c:v>
                </c:pt>
                <c:pt idx="72">
                  <c:v>12.593999999999999</c:v>
                </c:pt>
                <c:pt idx="73">
                  <c:v>11.925000000000001</c:v>
                </c:pt>
                <c:pt idx="74">
                  <c:v>12.574999999999999</c:v>
                </c:pt>
                <c:pt idx="75">
                  <c:v>12.576000000000001</c:v>
                </c:pt>
                <c:pt idx="76">
                  <c:v>12.071999999999999</c:v>
                </c:pt>
                <c:pt idx="77">
                  <c:v>12.448</c:v>
                </c:pt>
                <c:pt idx="78">
                  <c:v>13.04</c:v>
                </c:pt>
                <c:pt idx="79">
                  <c:v>12.938000000000001</c:v>
                </c:pt>
                <c:pt idx="80">
                  <c:v>13.157999999999999</c:v>
                </c:pt>
                <c:pt idx="81">
                  <c:v>13.757999999999999</c:v>
                </c:pt>
                <c:pt idx="82">
                  <c:v>13.225</c:v>
                </c:pt>
                <c:pt idx="83">
                  <c:v>13.236000000000001</c:v>
                </c:pt>
                <c:pt idx="84">
                  <c:v>13.83</c:v>
                </c:pt>
                <c:pt idx="85">
                  <c:v>14</c:v>
                </c:pt>
                <c:pt idx="86">
                  <c:v>14.074999999999999</c:v>
                </c:pt>
                <c:pt idx="87">
                  <c:v>13.766999999999999</c:v>
                </c:pt>
                <c:pt idx="88">
                  <c:v>13.99</c:v>
                </c:pt>
                <c:pt idx="89">
                  <c:v>14.297000000000001</c:v>
                </c:pt>
                <c:pt idx="90">
                  <c:v>14.291</c:v>
                </c:pt>
                <c:pt idx="91">
                  <c:v>13.811</c:v>
                </c:pt>
                <c:pt idx="92">
                  <c:v>14.037000000000001</c:v>
                </c:pt>
                <c:pt idx="93">
                  <c:v>13.903</c:v>
                </c:pt>
                <c:pt idx="94">
                  <c:v>13.584</c:v>
                </c:pt>
                <c:pt idx="95">
                  <c:v>13.625</c:v>
                </c:pt>
                <c:pt idx="96">
                  <c:v>13.523</c:v>
                </c:pt>
                <c:pt idx="97">
                  <c:v>13.45</c:v>
                </c:pt>
                <c:pt idx="98">
                  <c:v>13.427</c:v>
                </c:pt>
                <c:pt idx="99">
                  <c:v>13.305999999999999</c:v>
                </c:pt>
                <c:pt idx="100">
                  <c:v>13.198</c:v>
                </c:pt>
                <c:pt idx="101">
                  <c:v>12.839</c:v>
                </c:pt>
                <c:pt idx="102">
                  <c:v>12.85</c:v>
                </c:pt>
                <c:pt idx="103">
                  <c:v>12.657999999999999</c:v>
                </c:pt>
                <c:pt idx="104">
                  <c:v>12.709</c:v>
                </c:pt>
                <c:pt idx="105">
                  <c:v>13.388999999999999</c:v>
                </c:pt>
                <c:pt idx="106">
                  <c:v>14.163</c:v>
                </c:pt>
                <c:pt idx="107">
                  <c:v>14.11</c:v>
                </c:pt>
                <c:pt idx="108">
                  <c:v>14.553000000000001</c:v>
                </c:pt>
                <c:pt idx="109">
                  <c:v>13.606999999999999</c:v>
                </c:pt>
                <c:pt idx="110">
                  <c:v>13.054</c:v>
                </c:pt>
                <c:pt idx="111">
                  <c:v>13.478999999999999</c:v>
                </c:pt>
                <c:pt idx="112">
                  <c:v>13.627000000000001</c:v>
                </c:pt>
                <c:pt idx="113">
                  <c:v>13.173</c:v>
                </c:pt>
                <c:pt idx="114">
                  <c:v>13.553000000000001</c:v>
                </c:pt>
                <c:pt idx="115">
                  <c:v>13.465</c:v>
                </c:pt>
                <c:pt idx="116">
                  <c:v>13.212999999999999</c:v>
                </c:pt>
                <c:pt idx="117">
                  <c:v>13.454000000000001</c:v>
                </c:pt>
                <c:pt idx="118">
                  <c:v>13.170999999999999</c:v>
                </c:pt>
                <c:pt idx="119">
                  <c:v>13.143000000000001</c:v>
                </c:pt>
                <c:pt idx="120">
                  <c:v>13.032999999999999</c:v>
                </c:pt>
                <c:pt idx="121">
                  <c:v>13.375</c:v>
                </c:pt>
                <c:pt idx="122">
                  <c:v>13.265000000000001</c:v>
                </c:pt>
                <c:pt idx="123">
                  <c:v>13.492000000000001</c:v>
                </c:pt>
                <c:pt idx="124">
                  <c:v>13.351000000000001</c:v>
                </c:pt>
                <c:pt idx="125">
                  <c:v>13.587999999999999</c:v>
                </c:pt>
                <c:pt idx="126">
                  <c:v>13.449</c:v>
                </c:pt>
                <c:pt idx="127">
                  <c:v>13.601000000000001</c:v>
                </c:pt>
                <c:pt idx="128">
                  <c:v>13.585000000000001</c:v>
                </c:pt>
                <c:pt idx="129">
                  <c:v>13.301</c:v>
                </c:pt>
                <c:pt idx="130">
                  <c:v>12.869</c:v>
                </c:pt>
                <c:pt idx="131">
                  <c:v>12.967000000000001</c:v>
                </c:pt>
                <c:pt idx="132">
                  <c:v>13.087999999999999</c:v>
                </c:pt>
                <c:pt idx="133">
                  <c:v>13.44</c:v>
                </c:pt>
                <c:pt idx="134">
                  <c:v>13.422000000000001</c:v>
                </c:pt>
                <c:pt idx="135">
                  <c:v>13.367000000000001</c:v>
                </c:pt>
                <c:pt idx="136">
                  <c:v>13.379</c:v>
                </c:pt>
                <c:pt idx="137">
                  <c:v>13.074999999999999</c:v>
                </c:pt>
                <c:pt idx="138">
                  <c:v>13.319000000000001</c:v>
                </c:pt>
                <c:pt idx="139">
                  <c:v>13.256</c:v>
                </c:pt>
                <c:pt idx="140">
                  <c:v>13.037000000000001</c:v>
                </c:pt>
                <c:pt idx="141">
                  <c:v>13.063000000000001</c:v>
                </c:pt>
                <c:pt idx="142">
                  <c:v>12.925000000000001</c:v>
                </c:pt>
                <c:pt idx="143">
                  <c:v>12.99</c:v>
                </c:pt>
                <c:pt idx="144">
                  <c:v>13.137</c:v>
                </c:pt>
                <c:pt idx="145">
                  <c:v>13.103999999999999</c:v>
                </c:pt>
                <c:pt idx="146">
                  <c:v>13.1</c:v>
                </c:pt>
                <c:pt idx="147">
                  <c:v>13.223000000000001</c:v>
                </c:pt>
                <c:pt idx="148">
                  <c:v>12.968</c:v>
                </c:pt>
                <c:pt idx="149">
                  <c:v>13.363</c:v>
                </c:pt>
                <c:pt idx="150">
                  <c:v>13.419</c:v>
                </c:pt>
                <c:pt idx="151">
                  <c:v>13.753</c:v>
                </c:pt>
                <c:pt idx="152">
                  <c:v>13.49</c:v>
                </c:pt>
                <c:pt idx="153">
                  <c:v>13.574999999999999</c:v>
                </c:pt>
                <c:pt idx="154">
                  <c:v>13.228</c:v>
                </c:pt>
                <c:pt idx="155">
                  <c:v>13.016</c:v>
                </c:pt>
                <c:pt idx="156">
                  <c:v>13.112</c:v>
                </c:pt>
                <c:pt idx="157">
                  <c:v>13.419</c:v>
                </c:pt>
                <c:pt idx="158">
                  <c:v>13.74</c:v>
                </c:pt>
                <c:pt idx="159">
                  <c:v>13.782</c:v>
                </c:pt>
                <c:pt idx="160">
                  <c:v>13.58</c:v>
                </c:pt>
                <c:pt idx="161">
                  <c:v>13.23</c:v>
                </c:pt>
                <c:pt idx="162">
                  <c:v>12.996</c:v>
                </c:pt>
                <c:pt idx="163">
                  <c:v>13.074999999999999</c:v>
                </c:pt>
                <c:pt idx="164">
                  <c:v>13.053000000000001</c:v>
                </c:pt>
                <c:pt idx="165">
                  <c:v>13.398999999999999</c:v>
                </c:pt>
                <c:pt idx="166">
                  <c:v>13.635999999999999</c:v>
                </c:pt>
                <c:pt idx="167">
                  <c:v>13.531000000000001</c:v>
                </c:pt>
                <c:pt idx="168">
                  <c:v>13.725</c:v>
                </c:pt>
                <c:pt idx="169">
                  <c:v>13.727</c:v>
                </c:pt>
                <c:pt idx="170">
                  <c:v>14.340999999999999</c:v>
                </c:pt>
                <c:pt idx="171">
                  <c:v>14.462999999999999</c:v>
                </c:pt>
                <c:pt idx="172">
                  <c:v>14.98</c:v>
                </c:pt>
                <c:pt idx="173">
                  <c:v>15.05</c:v>
                </c:pt>
                <c:pt idx="174">
                  <c:v>15.064</c:v>
                </c:pt>
                <c:pt idx="175">
                  <c:v>15.170999999999999</c:v>
                </c:pt>
                <c:pt idx="176">
                  <c:v>14.728999999999999</c:v>
                </c:pt>
                <c:pt idx="177">
                  <c:v>15.025</c:v>
                </c:pt>
                <c:pt idx="178">
                  <c:v>14.927</c:v>
                </c:pt>
                <c:pt idx="179">
                  <c:v>14.074999999999999</c:v>
                </c:pt>
                <c:pt idx="180">
                  <c:v>14.122999999999999</c:v>
                </c:pt>
                <c:pt idx="181">
                  <c:v>14.045</c:v>
                </c:pt>
                <c:pt idx="182">
                  <c:v>13.753</c:v>
                </c:pt>
                <c:pt idx="183">
                  <c:v>13.875</c:v>
                </c:pt>
                <c:pt idx="184">
                  <c:v>13.9</c:v>
                </c:pt>
                <c:pt idx="185">
                  <c:v>13.426</c:v>
                </c:pt>
                <c:pt idx="186">
                  <c:v>12.801</c:v>
                </c:pt>
                <c:pt idx="187">
                  <c:v>12.55</c:v>
                </c:pt>
                <c:pt idx="188">
                  <c:v>12.45</c:v>
                </c:pt>
                <c:pt idx="189">
                  <c:v>12.13</c:v>
                </c:pt>
                <c:pt idx="190">
                  <c:v>12.840999999999999</c:v>
                </c:pt>
                <c:pt idx="191">
                  <c:v>12.95</c:v>
                </c:pt>
                <c:pt idx="192">
                  <c:v>12.648</c:v>
                </c:pt>
                <c:pt idx="193">
                  <c:v>12.865</c:v>
                </c:pt>
                <c:pt idx="194">
                  <c:v>13.356999999999999</c:v>
                </c:pt>
                <c:pt idx="195">
                  <c:v>13.04</c:v>
                </c:pt>
                <c:pt idx="196">
                  <c:v>13.137</c:v>
                </c:pt>
                <c:pt idx="197">
                  <c:v>12.75</c:v>
                </c:pt>
                <c:pt idx="198">
                  <c:v>12.913</c:v>
                </c:pt>
                <c:pt idx="199">
                  <c:v>13.254</c:v>
                </c:pt>
                <c:pt idx="200">
                  <c:v>13.151</c:v>
                </c:pt>
                <c:pt idx="201">
                  <c:v>12.5</c:v>
                </c:pt>
                <c:pt idx="202">
                  <c:v>12.555</c:v>
                </c:pt>
                <c:pt idx="203">
                  <c:v>12.82</c:v>
                </c:pt>
                <c:pt idx="204">
                  <c:v>12.842000000000001</c:v>
                </c:pt>
                <c:pt idx="205">
                  <c:v>13.016</c:v>
                </c:pt>
                <c:pt idx="206">
                  <c:v>13.571999999999999</c:v>
                </c:pt>
                <c:pt idx="207">
                  <c:v>13.868</c:v>
                </c:pt>
                <c:pt idx="208">
                  <c:v>14</c:v>
                </c:pt>
                <c:pt idx="209">
                  <c:v>13.881</c:v>
                </c:pt>
                <c:pt idx="210">
                  <c:v>14.253</c:v>
                </c:pt>
                <c:pt idx="211">
                  <c:v>14.214</c:v>
                </c:pt>
                <c:pt idx="212">
                  <c:v>14.29</c:v>
                </c:pt>
                <c:pt idx="213">
                  <c:v>15.231999999999999</c:v>
                </c:pt>
                <c:pt idx="214">
                  <c:v>15.625</c:v>
                </c:pt>
                <c:pt idx="215">
                  <c:v>15.663</c:v>
                </c:pt>
                <c:pt idx="216">
                  <c:v>16.053000000000001</c:v>
                </c:pt>
                <c:pt idx="217">
                  <c:v>15.537000000000001</c:v>
                </c:pt>
                <c:pt idx="218">
                  <c:v>15.323</c:v>
                </c:pt>
                <c:pt idx="219">
                  <c:v>15.119</c:v>
                </c:pt>
                <c:pt idx="220">
                  <c:v>15.375</c:v>
                </c:pt>
                <c:pt idx="221">
                  <c:v>14.933999999999999</c:v>
                </c:pt>
                <c:pt idx="222">
                  <c:v>15.185</c:v>
                </c:pt>
                <c:pt idx="223">
                  <c:v>15.579000000000001</c:v>
                </c:pt>
                <c:pt idx="224">
                  <c:v>15.365</c:v>
                </c:pt>
                <c:pt idx="225">
                  <c:v>15.4</c:v>
                </c:pt>
                <c:pt idx="226">
                  <c:v>15.175000000000001</c:v>
                </c:pt>
                <c:pt idx="227">
                  <c:v>15.125</c:v>
                </c:pt>
                <c:pt idx="228">
                  <c:v>14.637</c:v>
                </c:pt>
                <c:pt idx="229">
                  <c:v>14.709</c:v>
                </c:pt>
                <c:pt idx="230">
                  <c:v>14.494999999999999</c:v>
                </c:pt>
                <c:pt idx="231">
                  <c:v>14.808</c:v>
                </c:pt>
                <c:pt idx="232">
                  <c:v>14.787000000000001</c:v>
                </c:pt>
                <c:pt idx="233">
                  <c:v>13.824999999999999</c:v>
                </c:pt>
                <c:pt idx="234">
                  <c:v>14.01</c:v>
                </c:pt>
                <c:pt idx="235">
                  <c:v>14.034000000000001</c:v>
                </c:pt>
                <c:pt idx="236">
                  <c:v>13.89</c:v>
                </c:pt>
                <c:pt idx="237">
                  <c:v>14.157</c:v>
                </c:pt>
                <c:pt idx="238">
                  <c:v>14.266999999999999</c:v>
                </c:pt>
                <c:pt idx="239">
                  <c:v>13.567</c:v>
                </c:pt>
                <c:pt idx="240">
                  <c:v>14.303000000000001</c:v>
                </c:pt>
                <c:pt idx="241">
                  <c:v>15.164</c:v>
                </c:pt>
                <c:pt idx="242">
                  <c:v>15.212999999999999</c:v>
                </c:pt>
                <c:pt idx="243">
                  <c:v>15.766</c:v>
                </c:pt>
                <c:pt idx="244">
                  <c:v>15.734</c:v>
                </c:pt>
                <c:pt idx="245">
                  <c:v>15.7</c:v>
                </c:pt>
                <c:pt idx="246">
                  <c:v>15.500999999999999</c:v>
                </c:pt>
                <c:pt idx="247">
                  <c:v>16.27</c:v>
                </c:pt>
                <c:pt idx="248">
                  <c:v>16.251999999999999</c:v>
                </c:pt>
                <c:pt idx="249">
                  <c:v>16.701000000000001</c:v>
                </c:pt>
                <c:pt idx="250">
                  <c:v>17.113</c:v>
                </c:pt>
                <c:pt idx="251">
                  <c:v>17.571000000000002</c:v>
                </c:pt>
                <c:pt idx="252">
                  <c:v>17.527000000000001</c:v>
                </c:pt>
                <c:pt idx="253">
                  <c:v>17.515999999999998</c:v>
                </c:pt>
                <c:pt idx="254">
                  <c:v>17.350000000000001</c:v>
                </c:pt>
                <c:pt idx="255">
                  <c:v>17.48</c:v>
                </c:pt>
                <c:pt idx="256">
                  <c:v>17.905999999999999</c:v>
                </c:pt>
                <c:pt idx="257">
                  <c:v>17.914999999999999</c:v>
                </c:pt>
                <c:pt idx="258">
                  <c:v>17.791</c:v>
                </c:pt>
                <c:pt idx="259">
                  <c:v>17.774999999999999</c:v>
                </c:pt>
                <c:pt idx="260">
                  <c:v>18.783999999999999</c:v>
                </c:pt>
                <c:pt idx="261">
                  <c:v>18.434999999999999</c:v>
                </c:pt>
                <c:pt idx="262">
                  <c:v>18.472000000000001</c:v>
                </c:pt>
                <c:pt idx="263">
                  <c:v>19.007999999999999</c:v>
                </c:pt>
                <c:pt idx="264">
                  <c:v>19.228000000000002</c:v>
                </c:pt>
                <c:pt idx="265">
                  <c:v>19.280999999999999</c:v>
                </c:pt>
                <c:pt idx="266">
                  <c:v>19.361000000000001</c:v>
                </c:pt>
                <c:pt idx="267">
                  <c:v>19.882999999999999</c:v>
                </c:pt>
                <c:pt idx="268">
                  <c:v>19.998999999999999</c:v>
                </c:pt>
                <c:pt idx="269">
                  <c:v>20.125</c:v>
                </c:pt>
                <c:pt idx="270">
                  <c:v>20.440000000000001</c:v>
                </c:pt>
                <c:pt idx="271">
                  <c:v>20.738</c:v>
                </c:pt>
                <c:pt idx="272">
                  <c:v>20.853999999999999</c:v>
                </c:pt>
                <c:pt idx="273">
                  <c:v>19.856999999999999</c:v>
                </c:pt>
                <c:pt idx="274">
                  <c:v>19.963000000000001</c:v>
                </c:pt>
                <c:pt idx="275">
                  <c:v>20.239999999999998</c:v>
                </c:pt>
                <c:pt idx="276">
                  <c:v>20.401</c:v>
                </c:pt>
                <c:pt idx="277">
                  <c:v>20.358000000000001</c:v>
                </c:pt>
                <c:pt idx="278">
                  <c:v>19.812000000000001</c:v>
                </c:pt>
                <c:pt idx="279">
                  <c:v>19.030999999999999</c:v>
                </c:pt>
                <c:pt idx="280">
                  <c:v>17.914999999999999</c:v>
                </c:pt>
                <c:pt idx="281">
                  <c:v>18.73</c:v>
                </c:pt>
                <c:pt idx="282">
                  <c:v>18.882000000000001</c:v>
                </c:pt>
                <c:pt idx="283">
                  <c:v>19.641999999999999</c:v>
                </c:pt>
                <c:pt idx="284">
                  <c:v>19.655999999999999</c:v>
                </c:pt>
                <c:pt idx="285">
                  <c:v>19.311</c:v>
                </c:pt>
                <c:pt idx="286">
                  <c:v>19.265000000000001</c:v>
                </c:pt>
                <c:pt idx="287">
                  <c:v>19.318999999999999</c:v>
                </c:pt>
                <c:pt idx="288">
                  <c:v>19.518999999999998</c:v>
                </c:pt>
                <c:pt idx="289">
                  <c:v>19.417999999999999</c:v>
                </c:pt>
                <c:pt idx="290">
                  <c:v>19.7</c:v>
                </c:pt>
                <c:pt idx="291">
                  <c:v>19.739999999999998</c:v>
                </c:pt>
                <c:pt idx="292">
                  <c:v>19.989999999999998</c:v>
                </c:pt>
                <c:pt idx="293">
                  <c:v>20.5</c:v>
                </c:pt>
                <c:pt idx="294">
                  <c:v>20.524000000000001</c:v>
                </c:pt>
                <c:pt idx="295">
                  <c:v>20.446000000000002</c:v>
                </c:pt>
                <c:pt idx="296">
                  <c:v>20.321999999999999</c:v>
                </c:pt>
                <c:pt idx="297">
                  <c:v>20.042999999999999</c:v>
                </c:pt>
                <c:pt idx="298">
                  <c:v>19.87</c:v>
                </c:pt>
                <c:pt idx="299">
                  <c:v>19.905000000000001</c:v>
                </c:pt>
                <c:pt idx="300">
                  <c:v>20.135000000000002</c:v>
                </c:pt>
                <c:pt idx="301">
                  <c:v>19.684999999999999</c:v>
                </c:pt>
                <c:pt idx="302">
                  <c:v>19.5</c:v>
                </c:pt>
                <c:pt idx="303">
                  <c:v>19.494</c:v>
                </c:pt>
                <c:pt idx="304">
                  <c:v>19.991</c:v>
                </c:pt>
                <c:pt idx="305">
                  <c:v>20.971</c:v>
                </c:pt>
                <c:pt idx="306">
                  <c:v>21.753</c:v>
                </c:pt>
                <c:pt idx="307">
                  <c:v>21.736999999999998</c:v>
                </c:pt>
                <c:pt idx="308">
                  <c:v>22.2</c:v>
                </c:pt>
                <c:pt idx="309">
                  <c:v>22.184000000000001</c:v>
                </c:pt>
                <c:pt idx="310">
                  <c:v>22.83</c:v>
                </c:pt>
                <c:pt idx="311">
                  <c:v>22.695</c:v>
                </c:pt>
                <c:pt idx="312">
                  <c:v>22.484999999999999</c:v>
                </c:pt>
                <c:pt idx="313">
                  <c:v>22.518000000000001</c:v>
                </c:pt>
                <c:pt idx="314">
                  <c:v>22.324999999999999</c:v>
                </c:pt>
                <c:pt idx="315">
                  <c:v>22.832999999999998</c:v>
                </c:pt>
                <c:pt idx="316">
                  <c:v>22.513000000000002</c:v>
                </c:pt>
                <c:pt idx="317">
                  <c:v>22.312000000000001</c:v>
                </c:pt>
                <c:pt idx="318">
                  <c:v>22.347999999999999</c:v>
                </c:pt>
                <c:pt idx="319">
                  <c:v>22.684000000000001</c:v>
                </c:pt>
                <c:pt idx="320">
                  <c:v>22.274999999999999</c:v>
                </c:pt>
                <c:pt idx="321">
                  <c:v>22.309000000000001</c:v>
                </c:pt>
                <c:pt idx="322">
                  <c:v>22.183</c:v>
                </c:pt>
                <c:pt idx="323">
                  <c:v>22.3</c:v>
                </c:pt>
                <c:pt idx="324">
                  <c:v>21.146000000000001</c:v>
                </c:pt>
                <c:pt idx="325">
                  <c:v>21.417000000000002</c:v>
                </c:pt>
                <c:pt idx="326">
                  <c:v>21.366</c:v>
                </c:pt>
                <c:pt idx="327">
                  <c:v>22.14</c:v>
                </c:pt>
                <c:pt idx="328">
                  <c:v>22.07</c:v>
                </c:pt>
                <c:pt idx="329">
                  <c:v>21.71</c:v>
                </c:pt>
                <c:pt idx="330">
                  <c:v>21.213999999999999</c:v>
                </c:pt>
                <c:pt idx="331">
                  <c:v>20.94</c:v>
                </c:pt>
                <c:pt idx="332">
                  <c:v>20.768000000000001</c:v>
                </c:pt>
                <c:pt idx="333">
                  <c:v>20.75</c:v>
                </c:pt>
                <c:pt idx="334">
                  <c:v>20.504000000000001</c:v>
                </c:pt>
                <c:pt idx="335">
                  <c:v>19.95</c:v>
                </c:pt>
                <c:pt idx="336">
                  <c:v>20.12</c:v>
                </c:pt>
                <c:pt idx="337">
                  <c:v>21.091999999999999</c:v>
                </c:pt>
                <c:pt idx="338">
                  <c:v>21.100999999999999</c:v>
                </c:pt>
                <c:pt idx="339">
                  <c:v>20.574999999999999</c:v>
                </c:pt>
                <c:pt idx="340">
                  <c:v>20.827999999999999</c:v>
                </c:pt>
                <c:pt idx="341">
                  <c:v>20.917999999999999</c:v>
                </c:pt>
                <c:pt idx="342">
                  <c:v>21.288</c:v>
                </c:pt>
                <c:pt idx="343">
                  <c:v>21.81</c:v>
                </c:pt>
                <c:pt idx="344">
                  <c:v>21.748999999999999</c:v>
                </c:pt>
                <c:pt idx="345">
                  <c:v>22.276</c:v>
                </c:pt>
                <c:pt idx="346">
                  <c:v>22.305</c:v>
                </c:pt>
                <c:pt idx="347">
                  <c:v>22.097000000000001</c:v>
                </c:pt>
                <c:pt idx="348">
                  <c:v>22.823</c:v>
                </c:pt>
                <c:pt idx="349">
                  <c:v>22.972999999999999</c:v>
                </c:pt>
                <c:pt idx="350">
                  <c:v>23.989000000000001</c:v>
                </c:pt>
                <c:pt idx="351">
                  <c:v>24.474</c:v>
                </c:pt>
                <c:pt idx="352">
                  <c:v>24.878</c:v>
                </c:pt>
                <c:pt idx="353">
                  <c:v>25.001000000000001</c:v>
                </c:pt>
                <c:pt idx="354">
                  <c:v>25.649000000000001</c:v>
                </c:pt>
                <c:pt idx="355">
                  <c:v>25.821999999999999</c:v>
                </c:pt>
                <c:pt idx="356">
                  <c:v>26.67</c:v>
                </c:pt>
                <c:pt idx="357">
                  <c:v>27.228999999999999</c:v>
                </c:pt>
                <c:pt idx="358">
                  <c:v>30.187000000000001</c:v>
                </c:pt>
                <c:pt idx="359">
                  <c:v>30.149000000000001</c:v>
                </c:pt>
                <c:pt idx="360">
                  <c:v>32.281999999999996</c:v>
                </c:pt>
                <c:pt idx="361">
                  <c:v>29.356000000000002</c:v>
                </c:pt>
                <c:pt idx="362">
                  <c:v>30.468</c:v>
                </c:pt>
                <c:pt idx="363">
                  <c:v>30.01</c:v>
                </c:pt>
                <c:pt idx="364">
                  <c:v>30.552</c:v>
                </c:pt>
                <c:pt idx="365">
                  <c:v>29.759</c:v>
                </c:pt>
                <c:pt idx="366">
                  <c:v>30.417999999999999</c:v>
                </c:pt>
                <c:pt idx="367">
                  <c:v>32.366999999999997</c:v>
                </c:pt>
                <c:pt idx="368">
                  <c:v>32.243000000000002</c:v>
                </c:pt>
                <c:pt idx="369">
                  <c:v>33.517000000000003</c:v>
                </c:pt>
                <c:pt idx="370">
                  <c:v>31.535</c:v>
                </c:pt>
                <c:pt idx="371">
                  <c:v>31.460999999999999</c:v>
                </c:pt>
                <c:pt idx="372">
                  <c:v>32.6</c:v>
                </c:pt>
                <c:pt idx="373">
                  <c:v>32.366</c:v>
                </c:pt>
                <c:pt idx="374">
                  <c:v>33.168999999999997</c:v>
                </c:pt>
                <c:pt idx="375">
                  <c:v>33.219000000000001</c:v>
                </c:pt>
                <c:pt idx="376">
                  <c:v>31.213999999999999</c:v>
                </c:pt>
                <c:pt idx="377">
                  <c:v>32</c:v>
                </c:pt>
                <c:pt idx="378">
                  <c:v>29.88</c:v>
                </c:pt>
                <c:pt idx="379">
                  <c:v>30.957000000000001</c:v>
                </c:pt>
                <c:pt idx="380">
                  <c:v>31.998999999999999</c:v>
                </c:pt>
                <c:pt idx="381">
                  <c:v>31.734000000000002</c:v>
                </c:pt>
                <c:pt idx="382">
                  <c:v>31.15</c:v>
                </c:pt>
                <c:pt idx="383">
                  <c:v>30.248999999999999</c:v>
                </c:pt>
                <c:pt idx="384">
                  <c:v>27.699000000000002</c:v>
                </c:pt>
                <c:pt idx="385">
                  <c:v>28.4</c:v>
                </c:pt>
                <c:pt idx="386">
                  <c:v>31.152000000000001</c:v>
                </c:pt>
                <c:pt idx="387">
                  <c:v>27.984999999999999</c:v>
                </c:pt>
                <c:pt idx="388">
                  <c:v>27.305</c:v>
                </c:pt>
                <c:pt idx="389">
                  <c:v>28.373999999999999</c:v>
                </c:pt>
                <c:pt idx="390">
                  <c:v>28.890999999999998</c:v>
                </c:pt>
                <c:pt idx="391">
                  <c:v>29.754999999999999</c:v>
                </c:pt>
                <c:pt idx="392">
                  <c:v>29.66</c:v>
                </c:pt>
                <c:pt idx="393">
                  <c:v>31.312000000000001</c:v>
                </c:pt>
                <c:pt idx="394">
                  <c:v>30.273</c:v>
                </c:pt>
                <c:pt idx="395">
                  <c:v>29.827000000000002</c:v>
                </c:pt>
                <c:pt idx="396">
                  <c:v>29.673999999999999</c:v>
                </c:pt>
                <c:pt idx="397">
                  <c:v>29.815000000000001</c:v>
                </c:pt>
                <c:pt idx="398">
                  <c:v>30.277000000000001</c:v>
                </c:pt>
                <c:pt idx="399">
                  <c:v>28.949000000000002</c:v>
                </c:pt>
                <c:pt idx="400">
                  <c:v>27.64</c:v>
                </c:pt>
                <c:pt idx="401">
                  <c:v>28.140999999999998</c:v>
                </c:pt>
                <c:pt idx="402">
                  <c:v>26.581</c:v>
                </c:pt>
                <c:pt idx="403">
                  <c:v>27.323</c:v>
                </c:pt>
                <c:pt idx="404">
                  <c:v>28.067</c:v>
                </c:pt>
                <c:pt idx="405">
                  <c:v>28.379000000000001</c:v>
                </c:pt>
                <c:pt idx="406">
                  <c:v>26.3</c:v>
                </c:pt>
                <c:pt idx="407">
                  <c:v>26.26</c:v>
                </c:pt>
                <c:pt idx="408">
                  <c:v>26.079000000000001</c:v>
                </c:pt>
                <c:pt idx="409">
                  <c:v>25.303999999999998</c:v>
                </c:pt>
                <c:pt idx="410">
                  <c:v>23.507000000000001</c:v>
                </c:pt>
                <c:pt idx="411">
                  <c:v>22.33</c:v>
                </c:pt>
                <c:pt idx="412">
                  <c:v>22.545999999999999</c:v>
                </c:pt>
                <c:pt idx="413">
                  <c:v>23.24</c:v>
                </c:pt>
                <c:pt idx="414">
                  <c:v>23.568000000000001</c:v>
                </c:pt>
                <c:pt idx="415">
                  <c:v>22.012</c:v>
                </c:pt>
                <c:pt idx="416">
                  <c:v>23.181999999999999</c:v>
                </c:pt>
                <c:pt idx="417">
                  <c:v>25.103999999999999</c:v>
                </c:pt>
                <c:pt idx="418">
                  <c:v>25.794</c:v>
                </c:pt>
                <c:pt idx="419">
                  <c:v>24.457999999999998</c:v>
                </c:pt>
                <c:pt idx="420">
                  <c:v>23.972000000000001</c:v>
                </c:pt>
                <c:pt idx="421">
                  <c:v>24.372</c:v>
                </c:pt>
                <c:pt idx="422">
                  <c:v>24.359000000000002</c:v>
                </c:pt>
                <c:pt idx="423">
                  <c:v>25.622</c:v>
                </c:pt>
                <c:pt idx="424">
                  <c:v>25.995000000000001</c:v>
                </c:pt>
                <c:pt idx="425">
                  <c:v>25.916</c:v>
                </c:pt>
                <c:pt idx="426">
                  <c:v>23.934000000000001</c:v>
                </c:pt>
                <c:pt idx="427">
                  <c:v>24.266999999999999</c:v>
                </c:pt>
                <c:pt idx="428">
                  <c:v>26.259</c:v>
                </c:pt>
                <c:pt idx="429">
                  <c:v>25.63</c:v>
                </c:pt>
                <c:pt idx="430">
                  <c:v>24.667999999999999</c:v>
                </c:pt>
                <c:pt idx="431">
                  <c:v>23.035</c:v>
                </c:pt>
                <c:pt idx="432">
                  <c:v>23.802</c:v>
                </c:pt>
                <c:pt idx="433">
                  <c:v>21.015000000000001</c:v>
                </c:pt>
                <c:pt idx="434">
                  <c:v>23.721</c:v>
                </c:pt>
                <c:pt idx="435">
                  <c:v>23.992000000000001</c:v>
                </c:pt>
                <c:pt idx="436">
                  <c:v>24.291</c:v>
                </c:pt>
                <c:pt idx="437">
                  <c:v>23.756</c:v>
                </c:pt>
                <c:pt idx="438">
                  <c:v>24.262</c:v>
                </c:pt>
                <c:pt idx="439">
                  <c:v>23.384</c:v>
                </c:pt>
                <c:pt idx="440">
                  <c:v>22.817</c:v>
                </c:pt>
                <c:pt idx="441">
                  <c:v>21.309000000000001</c:v>
                </c:pt>
                <c:pt idx="442">
                  <c:v>22.387</c:v>
                </c:pt>
                <c:pt idx="443">
                  <c:v>22.530999999999999</c:v>
                </c:pt>
                <c:pt idx="444">
                  <c:v>23.021999999999998</c:v>
                </c:pt>
                <c:pt idx="445">
                  <c:v>21.869</c:v>
                </c:pt>
                <c:pt idx="446">
                  <c:v>21.518000000000001</c:v>
                </c:pt>
                <c:pt idx="447">
                  <c:v>23.5</c:v>
                </c:pt>
                <c:pt idx="448">
                  <c:v>24.12</c:v>
                </c:pt>
                <c:pt idx="449">
                  <c:v>24.798999999999999</c:v>
                </c:pt>
                <c:pt idx="450">
                  <c:v>26.507000000000001</c:v>
                </c:pt>
                <c:pt idx="451">
                  <c:v>26.727</c:v>
                </c:pt>
                <c:pt idx="452">
                  <c:v>26.126000000000001</c:v>
                </c:pt>
                <c:pt idx="453">
                  <c:v>26.166</c:v>
                </c:pt>
                <c:pt idx="454">
                  <c:v>27.885999999999999</c:v>
                </c:pt>
                <c:pt idx="455">
                  <c:v>27.756</c:v>
                </c:pt>
                <c:pt idx="456">
                  <c:v>28.695</c:v>
                </c:pt>
                <c:pt idx="457">
                  <c:v>28.303999999999998</c:v>
                </c:pt>
                <c:pt idx="458">
                  <c:v>27.782</c:v>
                </c:pt>
                <c:pt idx="459">
                  <c:v>27.375</c:v>
                </c:pt>
                <c:pt idx="460">
                  <c:v>26.728000000000002</c:v>
                </c:pt>
                <c:pt idx="461">
                  <c:v>27.254000000000001</c:v>
                </c:pt>
                <c:pt idx="462">
                  <c:v>24.934000000000001</c:v>
                </c:pt>
                <c:pt idx="463">
                  <c:v>24.440999999999999</c:v>
                </c:pt>
                <c:pt idx="464">
                  <c:v>23.917000000000002</c:v>
                </c:pt>
                <c:pt idx="465">
                  <c:v>22.213999999999999</c:v>
                </c:pt>
                <c:pt idx="466">
                  <c:v>22.536999999999999</c:v>
                </c:pt>
                <c:pt idx="467">
                  <c:v>21.728000000000002</c:v>
                </c:pt>
                <c:pt idx="468">
                  <c:v>22.504999999999999</c:v>
                </c:pt>
                <c:pt idx="469">
                  <c:v>21.2</c:v>
                </c:pt>
                <c:pt idx="470">
                  <c:v>21.72</c:v>
                </c:pt>
                <c:pt idx="471">
                  <c:v>22.516999999999999</c:v>
                </c:pt>
                <c:pt idx="472">
                  <c:v>21.709</c:v>
                </c:pt>
                <c:pt idx="473">
                  <c:v>20.303000000000001</c:v>
                </c:pt>
                <c:pt idx="474">
                  <c:v>19.202000000000002</c:v>
                </c:pt>
                <c:pt idx="475">
                  <c:v>19.718</c:v>
                </c:pt>
                <c:pt idx="476">
                  <c:v>18.597999999999999</c:v>
                </c:pt>
                <c:pt idx="477">
                  <c:v>18.966999999999999</c:v>
                </c:pt>
                <c:pt idx="478">
                  <c:v>19.402000000000001</c:v>
                </c:pt>
                <c:pt idx="479">
                  <c:v>18.541</c:v>
                </c:pt>
                <c:pt idx="480">
                  <c:v>19.399999999999999</c:v>
                </c:pt>
                <c:pt idx="481">
                  <c:v>19.922999999999998</c:v>
                </c:pt>
                <c:pt idx="482">
                  <c:v>19.867000000000001</c:v>
                </c:pt>
                <c:pt idx="483">
                  <c:v>18.736000000000001</c:v>
                </c:pt>
                <c:pt idx="484">
                  <c:v>18.033999999999999</c:v>
                </c:pt>
                <c:pt idx="485">
                  <c:v>17.689</c:v>
                </c:pt>
                <c:pt idx="486">
                  <c:v>17.347000000000001</c:v>
                </c:pt>
                <c:pt idx="487">
                  <c:v>16.219000000000001</c:v>
                </c:pt>
                <c:pt idx="488">
                  <c:v>16.788</c:v>
                </c:pt>
                <c:pt idx="489">
                  <c:v>17.509</c:v>
                </c:pt>
                <c:pt idx="490">
                  <c:v>18.074000000000002</c:v>
                </c:pt>
                <c:pt idx="491">
                  <c:v>17.704999999999998</c:v>
                </c:pt>
                <c:pt idx="492">
                  <c:v>16.937000000000001</c:v>
                </c:pt>
                <c:pt idx="493">
                  <c:v>17.332000000000001</c:v>
                </c:pt>
                <c:pt idx="494">
                  <c:v>16.274000000000001</c:v>
                </c:pt>
                <c:pt idx="495">
                  <c:v>16.510000000000002</c:v>
                </c:pt>
                <c:pt idx="496">
                  <c:v>16.02</c:v>
                </c:pt>
                <c:pt idx="497">
                  <c:v>16.036000000000001</c:v>
                </c:pt>
                <c:pt idx="498">
                  <c:v>18.186</c:v>
                </c:pt>
                <c:pt idx="499">
                  <c:v>18.98</c:v>
                </c:pt>
                <c:pt idx="500">
                  <c:v>18.724</c:v>
                </c:pt>
                <c:pt idx="501">
                  <c:v>18.292000000000002</c:v>
                </c:pt>
                <c:pt idx="502">
                  <c:v>19.082000000000001</c:v>
                </c:pt>
                <c:pt idx="503">
                  <c:v>19.138999999999999</c:v>
                </c:pt>
                <c:pt idx="504">
                  <c:v>18.472000000000001</c:v>
                </c:pt>
                <c:pt idx="505">
                  <c:v>18.798999999999999</c:v>
                </c:pt>
                <c:pt idx="506">
                  <c:v>18.481000000000002</c:v>
                </c:pt>
                <c:pt idx="507">
                  <c:v>17.600000000000001</c:v>
                </c:pt>
                <c:pt idx="508">
                  <c:v>16</c:v>
                </c:pt>
                <c:pt idx="509">
                  <c:v>15.731</c:v>
                </c:pt>
                <c:pt idx="510">
                  <c:v>16.094999999999999</c:v>
                </c:pt>
                <c:pt idx="511">
                  <c:v>15.86</c:v>
                </c:pt>
                <c:pt idx="512">
                  <c:v>15.648</c:v>
                </c:pt>
                <c:pt idx="513">
                  <c:v>16.475000000000001</c:v>
                </c:pt>
                <c:pt idx="514">
                  <c:v>16.225999999999999</c:v>
                </c:pt>
                <c:pt idx="515">
                  <c:v>16.518999999999998</c:v>
                </c:pt>
                <c:pt idx="516">
                  <c:v>16.5</c:v>
                </c:pt>
                <c:pt idx="517">
                  <c:v>17.312000000000001</c:v>
                </c:pt>
                <c:pt idx="518">
                  <c:v>16.899999999999999</c:v>
                </c:pt>
                <c:pt idx="519">
                  <c:v>15.814</c:v>
                </c:pt>
                <c:pt idx="520">
                  <c:v>15.361000000000001</c:v>
                </c:pt>
                <c:pt idx="521">
                  <c:v>14.898999999999999</c:v>
                </c:pt>
                <c:pt idx="522">
                  <c:v>14.175000000000001</c:v>
                </c:pt>
                <c:pt idx="523">
                  <c:v>15.01</c:v>
                </c:pt>
                <c:pt idx="524">
                  <c:v>15.456</c:v>
                </c:pt>
                <c:pt idx="525">
                  <c:v>15.43</c:v>
                </c:pt>
                <c:pt idx="526">
                  <c:v>15.526</c:v>
                </c:pt>
                <c:pt idx="527">
                  <c:v>15.268000000000001</c:v>
                </c:pt>
                <c:pt idx="528">
                  <c:v>14.59</c:v>
                </c:pt>
                <c:pt idx="529">
                  <c:v>15.108000000000001</c:v>
                </c:pt>
                <c:pt idx="530">
                  <c:v>15.659000000000001</c:v>
                </c:pt>
                <c:pt idx="531">
                  <c:v>16.302</c:v>
                </c:pt>
                <c:pt idx="532">
                  <c:v>16.486000000000001</c:v>
                </c:pt>
                <c:pt idx="533">
                  <c:v>16.946999999999999</c:v>
                </c:pt>
                <c:pt idx="534">
                  <c:v>17.885000000000002</c:v>
                </c:pt>
                <c:pt idx="535">
                  <c:v>17.893000000000001</c:v>
                </c:pt>
                <c:pt idx="536">
                  <c:v>17.018999999999998</c:v>
                </c:pt>
                <c:pt idx="537">
                  <c:v>16.888999999999999</c:v>
                </c:pt>
                <c:pt idx="538">
                  <c:v>17.032</c:v>
                </c:pt>
                <c:pt idx="539">
                  <c:v>17.975000000000001</c:v>
                </c:pt>
                <c:pt idx="540">
                  <c:v>17.812999999999999</c:v>
                </c:pt>
                <c:pt idx="541">
                  <c:v>18.181999999999999</c:v>
                </c:pt>
                <c:pt idx="542">
                  <c:v>18.122</c:v>
                </c:pt>
                <c:pt idx="543">
                  <c:v>18.184000000000001</c:v>
                </c:pt>
                <c:pt idx="544">
                  <c:v>18.849</c:v>
                </c:pt>
                <c:pt idx="545">
                  <c:v>18.809999999999999</c:v>
                </c:pt>
                <c:pt idx="546">
                  <c:v>17.501999999999999</c:v>
                </c:pt>
                <c:pt idx="547">
                  <c:v>17.251999999999999</c:v>
                </c:pt>
                <c:pt idx="548">
                  <c:v>17.698</c:v>
                </c:pt>
                <c:pt idx="549">
                  <c:v>18.131</c:v>
                </c:pt>
                <c:pt idx="550">
                  <c:v>18.16</c:v>
                </c:pt>
                <c:pt idx="551">
                  <c:v>18.701000000000001</c:v>
                </c:pt>
                <c:pt idx="552">
                  <c:v>18.920000000000002</c:v>
                </c:pt>
                <c:pt idx="553">
                  <c:v>18.523</c:v>
                </c:pt>
                <c:pt idx="554">
                  <c:v>18.300999999999998</c:v>
                </c:pt>
                <c:pt idx="555">
                  <c:v>18.405999999999999</c:v>
                </c:pt>
                <c:pt idx="556">
                  <c:v>17.489999999999998</c:v>
                </c:pt>
                <c:pt idx="557">
                  <c:v>16.989000000000001</c:v>
                </c:pt>
                <c:pt idx="558">
                  <c:v>17.012</c:v>
                </c:pt>
                <c:pt idx="559">
                  <c:v>16.844000000000001</c:v>
                </c:pt>
                <c:pt idx="560">
                  <c:v>17.856999999999999</c:v>
                </c:pt>
                <c:pt idx="561">
                  <c:v>16.02</c:v>
                </c:pt>
                <c:pt idx="562">
                  <c:v>15.96</c:v>
                </c:pt>
                <c:pt idx="563">
                  <c:v>15.384</c:v>
                </c:pt>
                <c:pt idx="564">
                  <c:v>14.209</c:v>
                </c:pt>
                <c:pt idx="565">
                  <c:v>14.1</c:v>
                </c:pt>
                <c:pt idx="566">
                  <c:v>13.731</c:v>
                </c:pt>
                <c:pt idx="567">
                  <c:v>13.563000000000001</c:v>
                </c:pt>
                <c:pt idx="568">
                  <c:v>13.459</c:v>
                </c:pt>
                <c:pt idx="569">
                  <c:v>14.157</c:v>
                </c:pt>
                <c:pt idx="570">
                  <c:v>14.369</c:v>
                </c:pt>
                <c:pt idx="571">
                  <c:v>13.802</c:v>
                </c:pt>
                <c:pt idx="572">
                  <c:v>13.254</c:v>
                </c:pt>
                <c:pt idx="573">
                  <c:v>13.015000000000001</c:v>
                </c:pt>
                <c:pt idx="574">
                  <c:v>12.742000000000001</c:v>
                </c:pt>
                <c:pt idx="575">
                  <c:v>13.012</c:v>
                </c:pt>
                <c:pt idx="576">
                  <c:v>13.215</c:v>
                </c:pt>
                <c:pt idx="577">
                  <c:v>13.212999999999999</c:v>
                </c:pt>
                <c:pt idx="578">
                  <c:v>13.07</c:v>
                </c:pt>
                <c:pt idx="579">
                  <c:v>12.42</c:v>
                </c:pt>
                <c:pt idx="580">
                  <c:v>12.491</c:v>
                </c:pt>
                <c:pt idx="581">
                  <c:v>12.507</c:v>
                </c:pt>
                <c:pt idx="582">
                  <c:v>12.41</c:v>
                </c:pt>
                <c:pt idx="583">
                  <c:v>12.448</c:v>
                </c:pt>
                <c:pt idx="584">
                  <c:v>12.087</c:v>
                </c:pt>
                <c:pt idx="585">
                  <c:v>12.347</c:v>
                </c:pt>
                <c:pt idx="586">
                  <c:v>12.879</c:v>
                </c:pt>
                <c:pt idx="587">
                  <c:v>12.911</c:v>
                </c:pt>
                <c:pt idx="588">
                  <c:v>13.22</c:v>
                </c:pt>
                <c:pt idx="589">
                  <c:v>12.505000000000001</c:v>
                </c:pt>
                <c:pt idx="590">
                  <c:v>12.037000000000001</c:v>
                </c:pt>
                <c:pt idx="591">
                  <c:v>11.561</c:v>
                </c:pt>
                <c:pt idx="592">
                  <c:v>11.579000000000001</c:v>
                </c:pt>
                <c:pt idx="593">
                  <c:v>10.971</c:v>
                </c:pt>
                <c:pt idx="594">
                  <c:v>12.057</c:v>
                </c:pt>
                <c:pt idx="595">
                  <c:v>11.518000000000001</c:v>
                </c:pt>
                <c:pt idx="596">
                  <c:v>12.343999999999999</c:v>
                </c:pt>
                <c:pt idx="597">
                  <c:v>11.879</c:v>
                </c:pt>
                <c:pt idx="598">
                  <c:v>12.113</c:v>
                </c:pt>
                <c:pt idx="599">
                  <c:v>12.098000000000001</c:v>
                </c:pt>
                <c:pt idx="600">
                  <c:v>12.507999999999999</c:v>
                </c:pt>
                <c:pt idx="601">
                  <c:v>12.694000000000001</c:v>
                </c:pt>
                <c:pt idx="602">
                  <c:v>12.869</c:v>
                </c:pt>
                <c:pt idx="603">
                  <c:v>13.63</c:v>
                </c:pt>
                <c:pt idx="604">
                  <c:v>13.103999999999999</c:v>
                </c:pt>
                <c:pt idx="605">
                  <c:v>13.778</c:v>
                </c:pt>
                <c:pt idx="606">
                  <c:v>13.811</c:v>
                </c:pt>
                <c:pt idx="607">
                  <c:v>13.85</c:v>
                </c:pt>
                <c:pt idx="608">
                  <c:v>13.042999999999999</c:v>
                </c:pt>
                <c:pt idx="609">
                  <c:v>13.986000000000001</c:v>
                </c:pt>
                <c:pt idx="610">
                  <c:v>14.228</c:v>
                </c:pt>
                <c:pt idx="611">
                  <c:v>14.801</c:v>
                </c:pt>
                <c:pt idx="612">
                  <c:v>14.162000000000001</c:v>
                </c:pt>
                <c:pt idx="613">
                  <c:v>14.8</c:v>
                </c:pt>
                <c:pt idx="614">
                  <c:v>15.808</c:v>
                </c:pt>
                <c:pt idx="615">
                  <c:v>16.218</c:v>
                </c:pt>
                <c:pt idx="616">
                  <c:v>16.722000000000001</c:v>
                </c:pt>
                <c:pt idx="617">
                  <c:v>16.161999999999999</c:v>
                </c:pt>
                <c:pt idx="618">
                  <c:v>15.715</c:v>
                </c:pt>
                <c:pt idx="619">
                  <c:v>15.965999999999999</c:v>
                </c:pt>
                <c:pt idx="620">
                  <c:v>15.147</c:v>
                </c:pt>
                <c:pt idx="621">
                  <c:v>15.327999999999999</c:v>
                </c:pt>
                <c:pt idx="622">
                  <c:v>16.097999999999999</c:v>
                </c:pt>
                <c:pt idx="623">
                  <c:v>16.318000000000001</c:v>
                </c:pt>
                <c:pt idx="624">
                  <c:v>16.026</c:v>
                </c:pt>
                <c:pt idx="625">
                  <c:v>15.827</c:v>
                </c:pt>
                <c:pt idx="626">
                  <c:v>15.696999999999999</c:v>
                </c:pt>
                <c:pt idx="627">
                  <c:v>16.998999999999999</c:v>
                </c:pt>
                <c:pt idx="628">
                  <c:v>16.658999999999999</c:v>
                </c:pt>
                <c:pt idx="629">
                  <c:v>16.678999999999998</c:v>
                </c:pt>
                <c:pt idx="630">
                  <c:v>16.53</c:v>
                </c:pt>
                <c:pt idx="631">
                  <c:v>15.772</c:v>
                </c:pt>
                <c:pt idx="632">
                  <c:v>16.273</c:v>
                </c:pt>
                <c:pt idx="633">
                  <c:v>17.16</c:v>
                </c:pt>
                <c:pt idx="634">
                  <c:v>17.036999999999999</c:v>
                </c:pt>
                <c:pt idx="635">
                  <c:v>18.530999999999999</c:v>
                </c:pt>
                <c:pt idx="636">
                  <c:v>17.986999999999998</c:v>
                </c:pt>
                <c:pt idx="637">
                  <c:v>17.146000000000001</c:v>
                </c:pt>
                <c:pt idx="638">
                  <c:v>16.864000000000001</c:v>
                </c:pt>
                <c:pt idx="639">
                  <c:v>16.571999999999999</c:v>
                </c:pt>
                <c:pt idx="640">
                  <c:v>16.064</c:v>
                </c:pt>
                <c:pt idx="641">
                  <c:v>16.114000000000001</c:v>
                </c:pt>
                <c:pt idx="642">
                  <c:v>16.094000000000001</c:v>
                </c:pt>
                <c:pt idx="643">
                  <c:v>15.196</c:v>
                </c:pt>
                <c:pt idx="644">
                  <c:v>15.074</c:v>
                </c:pt>
                <c:pt idx="645">
                  <c:v>13.927</c:v>
                </c:pt>
                <c:pt idx="646">
                  <c:v>14.401999999999999</c:v>
                </c:pt>
                <c:pt idx="647">
                  <c:v>14.334</c:v>
                </c:pt>
                <c:pt idx="648">
                  <c:v>14.851000000000001</c:v>
                </c:pt>
                <c:pt idx="649">
                  <c:v>14.567</c:v>
                </c:pt>
                <c:pt idx="650">
                  <c:v>14.491</c:v>
                </c:pt>
                <c:pt idx="651">
                  <c:v>14.474</c:v>
                </c:pt>
                <c:pt idx="652">
                  <c:v>15.284000000000001</c:v>
                </c:pt>
                <c:pt idx="653">
                  <c:v>15.507</c:v>
                </c:pt>
                <c:pt idx="654">
                  <c:v>15.84</c:v>
                </c:pt>
                <c:pt idx="655">
                  <c:v>16.100000000000001</c:v>
                </c:pt>
                <c:pt idx="656">
                  <c:v>16.277999999999999</c:v>
                </c:pt>
                <c:pt idx="657">
                  <c:v>16.899000000000001</c:v>
                </c:pt>
                <c:pt idx="658">
                  <c:v>17.667000000000002</c:v>
                </c:pt>
                <c:pt idx="659">
                  <c:v>17.036000000000001</c:v>
                </c:pt>
                <c:pt idx="660">
                  <c:v>17.010999999999999</c:v>
                </c:pt>
                <c:pt idx="661">
                  <c:v>18.064</c:v>
                </c:pt>
                <c:pt idx="662">
                  <c:v>18.827000000000002</c:v>
                </c:pt>
                <c:pt idx="663">
                  <c:v>18.913</c:v>
                </c:pt>
                <c:pt idx="664">
                  <c:v>19.701000000000001</c:v>
                </c:pt>
                <c:pt idx="665">
                  <c:v>19.462</c:v>
                </c:pt>
                <c:pt idx="666">
                  <c:v>19.95</c:v>
                </c:pt>
                <c:pt idx="667">
                  <c:v>19.170000000000002</c:v>
                </c:pt>
                <c:pt idx="668">
                  <c:v>19.690999999999999</c:v>
                </c:pt>
                <c:pt idx="669">
                  <c:v>21</c:v>
                </c:pt>
                <c:pt idx="670">
                  <c:v>21</c:v>
                </c:pt>
                <c:pt idx="671">
                  <c:v>20.806000000000001</c:v>
                </c:pt>
                <c:pt idx="672">
                  <c:v>21.382000000000001</c:v>
                </c:pt>
                <c:pt idx="673">
                  <c:v>22.387</c:v>
                </c:pt>
                <c:pt idx="674">
                  <c:v>22.606000000000002</c:v>
                </c:pt>
                <c:pt idx="675">
                  <c:v>21.69</c:v>
                </c:pt>
                <c:pt idx="676">
                  <c:v>21.538</c:v>
                </c:pt>
                <c:pt idx="677">
                  <c:v>21.577999999999999</c:v>
                </c:pt>
                <c:pt idx="678">
                  <c:v>22.548999999999999</c:v>
                </c:pt>
                <c:pt idx="679">
                  <c:v>22.132999999999999</c:v>
                </c:pt>
                <c:pt idx="680">
                  <c:v>21.631</c:v>
                </c:pt>
                <c:pt idx="681">
                  <c:v>21</c:v>
                </c:pt>
                <c:pt idx="682">
                  <c:v>20.707000000000001</c:v>
                </c:pt>
                <c:pt idx="683">
                  <c:v>23.44</c:v>
                </c:pt>
                <c:pt idx="684">
                  <c:v>23.225000000000001</c:v>
                </c:pt>
                <c:pt idx="685">
                  <c:v>23.67</c:v>
                </c:pt>
                <c:pt idx="686">
                  <c:v>23.372</c:v>
                </c:pt>
                <c:pt idx="687">
                  <c:v>23.192</c:v>
                </c:pt>
                <c:pt idx="688">
                  <c:v>22.488</c:v>
                </c:pt>
                <c:pt idx="689">
                  <c:v>23.32</c:v>
                </c:pt>
                <c:pt idx="690">
                  <c:v>23.890999999999998</c:v>
                </c:pt>
                <c:pt idx="691">
                  <c:v>23.6</c:v>
                </c:pt>
                <c:pt idx="692">
                  <c:v>23.486999999999998</c:v>
                </c:pt>
                <c:pt idx="693">
                  <c:v>24.175000000000001</c:v>
                </c:pt>
                <c:pt idx="694">
                  <c:v>23.408999999999999</c:v>
                </c:pt>
                <c:pt idx="695">
                  <c:v>22.751999999999999</c:v>
                </c:pt>
                <c:pt idx="696">
                  <c:v>23.495999999999999</c:v>
                </c:pt>
                <c:pt idx="697">
                  <c:v>23.760999999999999</c:v>
                </c:pt>
                <c:pt idx="698">
                  <c:v>24.027000000000001</c:v>
                </c:pt>
                <c:pt idx="699">
                  <c:v>25.981999999999999</c:v>
                </c:pt>
                <c:pt idx="700">
                  <c:v>25.614999999999998</c:v>
                </c:pt>
                <c:pt idx="701">
                  <c:v>26.18</c:v>
                </c:pt>
                <c:pt idx="702">
                  <c:v>26.425000000000001</c:v>
                </c:pt>
                <c:pt idx="703">
                  <c:v>27.116</c:v>
                </c:pt>
                <c:pt idx="704">
                  <c:v>27.030999999999999</c:v>
                </c:pt>
                <c:pt idx="705">
                  <c:v>26.837</c:v>
                </c:pt>
                <c:pt idx="706">
                  <c:v>26.446999999999999</c:v>
                </c:pt>
                <c:pt idx="707">
                  <c:v>26.824999999999999</c:v>
                </c:pt>
                <c:pt idx="708">
                  <c:v>27.228999999999999</c:v>
                </c:pt>
                <c:pt idx="709">
                  <c:v>27.14</c:v>
                </c:pt>
                <c:pt idx="710">
                  <c:v>27.509</c:v>
                </c:pt>
                <c:pt idx="711">
                  <c:v>27.966000000000001</c:v>
                </c:pt>
                <c:pt idx="712">
                  <c:v>26.829000000000001</c:v>
                </c:pt>
                <c:pt idx="713">
                  <c:v>26.584</c:v>
                </c:pt>
                <c:pt idx="714">
                  <c:v>26.823</c:v>
                </c:pt>
                <c:pt idx="715">
                  <c:v>27.724</c:v>
                </c:pt>
                <c:pt idx="716">
                  <c:v>27.37</c:v>
                </c:pt>
                <c:pt idx="717">
                  <c:v>26.734000000000002</c:v>
                </c:pt>
                <c:pt idx="718">
                  <c:v>26.504000000000001</c:v>
                </c:pt>
                <c:pt idx="719">
                  <c:v>26.565999999999999</c:v>
                </c:pt>
                <c:pt idx="720">
                  <c:v>27.533999999999999</c:v>
                </c:pt>
                <c:pt idx="721">
                  <c:v>27.361000000000001</c:v>
                </c:pt>
                <c:pt idx="722">
                  <c:v>27.670999999999999</c:v>
                </c:pt>
                <c:pt idx="723">
                  <c:v>26.952000000000002</c:v>
                </c:pt>
                <c:pt idx="724">
                  <c:v>27.013000000000002</c:v>
                </c:pt>
                <c:pt idx="725">
                  <c:v>27.077999999999999</c:v>
                </c:pt>
                <c:pt idx="726">
                  <c:v>27.001999999999999</c:v>
                </c:pt>
                <c:pt idx="727">
                  <c:v>27.363</c:v>
                </c:pt>
                <c:pt idx="728">
                  <c:v>27.225000000000001</c:v>
                </c:pt>
                <c:pt idx="729">
                  <c:v>27.84</c:v>
                </c:pt>
                <c:pt idx="730">
                  <c:v>28.68</c:v>
                </c:pt>
                <c:pt idx="731">
                  <c:v>27.84</c:v>
                </c:pt>
                <c:pt idx="732">
                  <c:v>27.651</c:v>
                </c:pt>
                <c:pt idx="733">
                  <c:v>27.826000000000001</c:v>
                </c:pt>
                <c:pt idx="734">
                  <c:v>28.521999999999998</c:v>
                </c:pt>
                <c:pt idx="735">
                  <c:v>28.899000000000001</c:v>
                </c:pt>
                <c:pt idx="736">
                  <c:v>29.004999999999999</c:v>
                </c:pt>
                <c:pt idx="737">
                  <c:v>28.896000000000001</c:v>
                </c:pt>
                <c:pt idx="738">
                  <c:v>28.529</c:v>
                </c:pt>
                <c:pt idx="739">
                  <c:v>28.509</c:v>
                </c:pt>
                <c:pt idx="740">
                  <c:v>28.841000000000001</c:v>
                </c:pt>
                <c:pt idx="741">
                  <c:v>29.584</c:v>
                </c:pt>
                <c:pt idx="742">
                  <c:v>30.41</c:v>
                </c:pt>
                <c:pt idx="743">
                  <c:v>31.536000000000001</c:v>
                </c:pt>
                <c:pt idx="744">
                  <c:v>30.901</c:v>
                </c:pt>
                <c:pt idx="745">
                  <c:v>31</c:v>
                </c:pt>
                <c:pt idx="746">
                  <c:v>30.21</c:v>
                </c:pt>
                <c:pt idx="747">
                  <c:v>38.523000000000003</c:v>
                </c:pt>
                <c:pt idx="748">
                  <c:v>37.89</c:v>
                </c:pt>
                <c:pt idx="749">
                  <c:v>40.594999999999999</c:v>
                </c:pt>
                <c:pt idx="750">
                  <c:v>39.488</c:v>
                </c:pt>
                <c:pt idx="751">
                  <c:v>38.488999999999997</c:v>
                </c:pt>
                <c:pt idx="752">
                  <c:v>40.097000000000001</c:v>
                </c:pt>
                <c:pt idx="753">
                  <c:v>38.908999999999999</c:v>
                </c:pt>
                <c:pt idx="754">
                  <c:v>38.83</c:v>
                </c:pt>
                <c:pt idx="755">
                  <c:v>38.914999999999999</c:v>
                </c:pt>
                <c:pt idx="756">
                  <c:v>37.723999999999997</c:v>
                </c:pt>
                <c:pt idx="757">
                  <c:v>39.036999999999999</c:v>
                </c:pt>
                <c:pt idx="758">
                  <c:v>39.200000000000003</c:v>
                </c:pt>
                <c:pt idx="759">
                  <c:v>40.186</c:v>
                </c:pt>
                <c:pt idx="760">
                  <c:v>40.823999999999998</c:v>
                </c:pt>
                <c:pt idx="761">
                  <c:v>42.601999999999997</c:v>
                </c:pt>
                <c:pt idx="762">
                  <c:v>43.45</c:v>
                </c:pt>
                <c:pt idx="763">
                  <c:v>42.997999999999998</c:v>
                </c:pt>
                <c:pt idx="764">
                  <c:v>43.500999999999998</c:v>
                </c:pt>
                <c:pt idx="765">
                  <c:v>42.253</c:v>
                </c:pt>
                <c:pt idx="766">
                  <c:v>42.463999999999999</c:v>
                </c:pt>
                <c:pt idx="767">
                  <c:v>42.460999999999999</c:v>
                </c:pt>
                <c:pt idx="768">
                  <c:v>40.798999999999999</c:v>
                </c:pt>
                <c:pt idx="769">
                  <c:v>40.659999999999997</c:v>
                </c:pt>
                <c:pt idx="770">
                  <c:v>41.558</c:v>
                </c:pt>
                <c:pt idx="771">
                  <c:v>41.68</c:v>
                </c:pt>
                <c:pt idx="772">
                  <c:v>42.517000000000003</c:v>
                </c:pt>
                <c:pt idx="773">
                  <c:v>42.134999999999998</c:v>
                </c:pt>
                <c:pt idx="774">
                  <c:v>41.844000000000001</c:v>
                </c:pt>
                <c:pt idx="775">
                  <c:v>42.322000000000003</c:v>
                </c:pt>
                <c:pt idx="776">
                  <c:v>42.656999999999996</c:v>
                </c:pt>
                <c:pt idx="777">
                  <c:v>42.481000000000002</c:v>
                </c:pt>
                <c:pt idx="778">
                  <c:v>43.033000000000001</c:v>
                </c:pt>
                <c:pt idx="779">
                  <c:v>44.518000000000001</c:v>
                </c:pt>
                <c:pt idx="780">
                  <c:v>46.582999999999998</c:v>
                </c:pt>
                <c:pt idx="781">
                  <c:v>46.289000000000001</c:v>
                </c:pt>
                <c:pt idx="782">
                  <c:v>46.701000000000001</c:v>
                </c:pt>
                <c:pt idx="783">
                  <c:v>47.463999999999999</c:v>
                </c:pt>
                <c:pt idx="784">
                  <c:v>46.506999999999998</c:v>
                </c:pt>
                <c:pt idx="785">
                  <c:v>45.787999999999997</c:v>
                </c:pt>
                <c:pt idx="786">
                  <c:v>44.731000000000002</c:v>
                </c:pt>
                <c:pt idx="787">
                  <c:v>44.941000000000003</c:v>
                </c:pt>
                <c:pt idx="788">
                  <c:v>46.021000000000001</c:v>
                </c:pt>
                <c:pt idx="789">
                  <c:v>46.518999999999998</c:v>
                </c:pt>
                <c:pt idx="790">
                  <c:v>46.667999999999999</c:v>
                </c:pt>
                <c:pt idx="791">
                  <c:v>46.753999999999998</c:v>
                </c:pt>
                <c:pt idx="792">
                  <c:v>46.46</c:v>
                </c:pt>
                <c:pt idx="793">
                  <c:v>45.831000000000003</c:v>
                </c:pt>
                <c:pt idx="794">
                  <c:v>43.8</c:v>
                </c:pt>
                <c:pt idx="795">
                  <c:v>44.984999999999999</c:v>
                </c:pt>
                <c:pt idx="796">
                  <c:v>45.110999999999997</c:v>
                </c:pt>
                <c:pt idx="797">
                  <c:v>44.853000000000002</c:v>
                </c:pt>
                <c:pt idx="798">
                  <c:v>44.274000000000001</c:v>
                </c:pt>
                <c:pt idx="799">
                  <c:v>42.16</c:v>
                </c:pt>
                <c:pt idx="800">
                  <c:v>41.750999999999998</c:v>
                </c:pt>
                <c:pt idx="801">
                  <c:v>40.485999999999997</c:v>
                </c:pt>
                <c:pt idx="802">
                  <c:v>44.56</c:v>
                </c:pt>
                <c:pt idx="803">
                  <c:v>44.52</c:v>
                </c:pt>
                <c:pt idx="804">
                  <c:v>43.97</c:v>
                </c:pt>
                <c:pt idx="805">
                  <c:v>42.634999999999998</c:v>
                </c:pt>
                <c:pt idx="806">
                  <c:v>44.494</c:v>
                </c:pt>
                <c:pt idx="807">
                  <c:v>48.134999999999998</c:v>
                </c:pt>
                <c:pt idx="808">
                  <c:v>45.866</c:v>
                </c:pt>
                <c:pt idx="809">
                  <c:v>50.216000000000001</c:v>
                </c:pt>
                <c:pt idx="810">
                  <c:v>47.012</c:v>
                </c:pt>
                <c:pt idx="811">
                  <c:v>46.481999999999999</c:v>
                </c:pt>
                <c:pt idx="812">
                  <c:v>46.665999999999997</c:v>
                </c:pt>
                <c:pt idx="813">
                  <c:v>49.043999999999997</c:v>
                </c:pt>
                <c:pt idx="814">
                  <c:v>49.38</c:v>
                </c:pt>
                <c:pt idx="815">
                  <c:v>49.762</c:v>
                </c:pt>
                <c:pt idx="816">
                  <c:v>48.222999999999999</c:v>
                </c:pt>
                <c:pt idx="817">
                  <c:v>48.441000000000003</c:v>
                </c:pt>
                <c:pt idx="818">
                  <c:v>45.524999999999999</c:v>
                </c:pt>
                <c:pt idx="819">
                  <c:v>45.942</c:v>
                </c:pt>
                <c:pt idx="820">
                  <c:v>46.148000000000003</c:v>
                </c:pt>
                <c:pt idx="821">
                  <c:v>44.738</c:v>
                </c:pt>
                <c:pt idx="822">
                  <c:v>44.6</c:v>
                </c:pt>
                <c:pt idx="823">
                  <c:v>45.95</c:v>
                </c:pt>
                <c:pt idx="824">
                  <c:v>45.341000000000001</c:v>
                </c:pt>
                <c:pt idx="825">
                  <c:v>42.747999999999998</c:v>
                </c:pt>
                <c:pt idx="826">
                  <c:v>43.832999999999998</c:v>
                </c:pt>
                <c:pt idx="827">
                  <c:v>43.6</c:v>
                </c:pt>
                <c:pt idx="828">
                  <c:v>41.582999999999998</c:v>
                </c:pt>
                <c:pt idx="829">
                  <c:v>41.572000000000003</c:v>
                </c:pt>
                <c:pt idx="830">
                  <c:v>41.591000000000001</c:v>
                </c:pt>
                <c:pt idx="831">
                  <c:v>42.000999999999998</c:v>
                </c:pt>
                <c:pt idx="832">
                  <c:v>42.33</c:v>
                </c:pt>
                <c:pt idx="833">
                  <c:v>42.46</c:v>
                </c:pt>
                <c:pt idx="834">
                  <c:v>43.826999999999998</c:v>
                </c:pt>
                <c:pt idx="835">
                  <c:v>44.03</c:v>
                </c:pt>
                <c:pt idx="836">
                  <c:v>44.808</c:v>
                </c:pt>
                <c:pt idx="837">
                  <c:v>43.741999999999997</c:v>
                </c:pt>
                <c:pt idx="838">
                  <c:v>44.05</c:v>
                </c:pt>
                <c:pt idx="839">
                  <c:v>44.192999999999998</c:v>
                </c:pt>
                <c:pt idx="840">
                  <c:v>44.841999999999999</c:v>
                </c:pt>
                <c:pt idx="841">
                  <c:v>45.31</c:v>
                </c:pt>
                <c:pt idx="842">
                  <c:v>46.195999999999998</c:v>
                </c:pt>
                <c:pt idx="843">
                  <c:v>46.777000000000001</c:v>
                </c:pt>
                <c:pt idx="844">
                  <c:v>46.96</c:v>
                </c:pt>
                <c:pt idx="845">
                  <c:v>45.063000000000002</c:v>
                </c:pt>
                <c:pt idx="846">
                  <c:v>44</c:v>
                </c:pt>
                <c:pt idx="847">
                  <c:v>42.591000000000001</c:v>
                </c:pt>
                <c:pt idx="848">
                  <c:v>42.811</c:v>
                </c:pt>
                <c:pt idx="849">
                  <c:v>41.89</c:v>
                </c:pt>
                <c:pt idx="850">
                  <c:v>41.228999999999999</c:v>
                </c:pt>
                <c:pt idx="851">
                  <c:v>43.076999999999998</c:v>
                </c:pt>
                <c:pt idx="852">
                  <c:v>43.398000000000003</c:v>
                </c:pt>
                <c:pt idx="853">
                  <c:v>41.853000000000002</c:v>
                </c:pt>
                <c:pt idx="854">
                  <c:v>41.13</c:v>
                </c:pt>
                <c:pt idx="855">
                  <c:v>41.087000000000003</c:v>
                </c:pt>
                <c:pt idx="856">
                  <c:v>40.450000000000003</c:v>
                </c:pt>
                <c:pt idx="857">
                  <c:v>40.884</c:v>
                </c:pt>
                <c:pt idx="858">
                  <c:v>43.328000000000003</c:v>
                </c:pt>
                <c:pt idx="859">
                  <c:v>44.02</c:v>
                </c:pt>
                <c:pt idx="860">
                  <c:v>45.284999999999997</c:v>
                </c:pt>
                <c:pt idx="861">
                  <c:v>45.719000000000001</c:v>
                </c:pt>
                <c:pt idx="862">
                  <c:v>46.1</c:v>
                </c:pt>
                <c:pt idx="863">
                  <c:v>46.573999999999998</c:v>
                </c:pt>
                <c:pt idx="864">
                  <c:v>47.5</c:v>
                </c:pt>
                <c:pt idx="865">
                  <c:v>48.32</c:v>
                </c:pt>
                <c:pt idx="866">
                  <c:v>49.68</c:v>
                </c:pt>
                <c:pt idx="867">
                  <c:v>49.935000000000002</c:v>
                </c:pt>
                <c:pt idx="868">
                  <c:v>48.679000000000002</c:v>
                </c:pt>
                <c:pt idx="869">
                  <c:v>49.524000000000001</c:v>
                </c:pt>
                <c:pt idx="870">
                  <c:v>49.311999999999998</c:v>
                </c:pt>
                <c:pt idx="871">
                  <c:v>50.125999999999998</c:v>
                </c:pt>
                <c:pt idx="872">
                  <c:v>49.851999999999997</c:v>
                </c:pt>
                <c:pt idx="873">
                  <c:v>48.47</c:v>
                </c:pt>
                <c:pt idx="874">
                  <c:v>47.8</c:v>
                </c:pt>
                <c:pt idx="875">
                  <c:v>48.235999999999997</c:v>
                </c:pt>
                <c:pt idx="876">
                  <c:v>48.378999999999998</c:v>
                </c:pt>
                <c:pt idx="877">
                  <c:v>48.024000000000001</c:v>
                </c:pt>
                <c:pt idx="878">
                  <c:v>46.524999999999999</c:v>
                </c:pt>
                <c:pt idx="879">
                  <c:v>46.076999999999998</c:v>
                </c:pt>
                <c:pt idx="880">
                  <c:v>45.466000000000001</c:v>
                </c:pt>
                <c:pt idx="881">
                  <c:v>47.215000000000003</c:v>
                </c:pt>
                <c:pt idx="882">
                  <c:v>45.7</c:v>
                </c:pt>
                <c:pt idx="883">
                  <c:v>46.594999999999999</c:v>
                </c:pt>
                <c:pt idx="884">
                  <c:v>47.491</c:v>
                </c:pt>
                <c:pt idx="885">
                  <c:v>46.045999999999999</c:v>
                </c:pt>
                <c:pt idx="886">
                  <c:v>47.628999999999998</c:v>
                </c:pt>
                <c:pt idx="887">
                  <c:v>48.39</c:v>
                </c:pt>
                <c:pt idx="888">
                  <c:v>48.194000000000003</c:v>
                </c:pt>
                <c:pt idx="889">
                  <c:v>49.4</c:v>
                </c:pt>
                <c:pt idx="890">
                  <c:v>49.423999999999999</c:v>
                </c:pt>
                <c:pt idx="891">
                  <c:v>49.655000000000001</c:v>
                </c:pt>
                <c:pt idx="892">
                  <c:v>48.811</c:v>
                </c:pt>
                <c:pt idx="893">
                  <c:v>49.195</c:v>
                </c:pt>
                <c:pt idx="894">
                  <c:v>48.968000000000004</c:v>
                </c:pt>
                <c:pt idx="895">
                  <c:v>49.511000000000003</c:v>
                </c:pt>
                <c:pt idx="896">
                  <c:v>49.643000000000001</c:v>
                </c:pt>
                <c:pt idx="897">
                  <c:v>49.813000000000002</c:v>
                </c:pt>
                <c:pt idx="898">
                  <c:v>49.244</c:v>
                </c:pt>
                <c:pt idx="899">
                  <c:v>47.484999999999999</c:v>
                </c:pt>
                <c:pt idx="900">
                  <c:v>47.767000000000003</c:v>
                </c:pt>
                <c:pt idx="901">
                  <c:v>48.462000000000003</c:v>
                </c:pt>
                <c:pt idx="902">
                  <c:v>49.512</c:v>
                </c:pt>
                <c:pt idx="903">
                  <c:v>52.401000000000003</c:v>
                </c:pt>
                <c:pt idx="904">
                  <c:v>53.616</c:v>
                </c:pt>
                <c:pt idx="905">
                  <c:v>54.999000000000002</c:v>
                </c:pt>
                <c:pt idx="906">
                  <c:v>54.62</c:v>
                </c:pt>
                <c:pt idx="907">
                  <c:v>55.018000000000001</c:v>
                </c:pt>
                <c:pt idx="908">
                  <c:v>56.347000000000001</c:v>
                </c:pt>
                <c:pt idx="909">
                  <c:v>57.26</c:v>
                </c:pt>
                <c:pt idx="910">
                  <c:v>57.988999999999997</c:v>
                </c:pt>
                <c:pt idx="911">
                  <c:v>60.048999999999999</c:v>
                </c:pt>
                <c:pt idx="912">
                  <c:v>59.57</c:v>
                </c:pt>
                <c:pt idx="913">
                  <c:v>60.304000000000002</c:v>
                </c:pt>
                <c:pt idx="914">
                  <c:v>62.35</c:v>
                </c:pt>
                <c:pt idx="915">
                  <c:v>60.96</c:v>
                </c:pt>
                <c:pt idx="916">
                  <c:v>61.231999999999999</c:v>
                </c:pt>
                <c:pt idx="917">
                  <c:v>62.9</c:v>
                </c:pt>
                <c:pt idx="918">
                  <c:v>61.44</c:v>
                </c:pt>
                <c:pt idx="919">
                  <c:v>62.1</c:v>
                </c:pt>
                <c:pt idx="920">
                  <c:v>63.973999999999997</c:v>
                </c:pt>
                <c:pt idx="921">
                  <c:v>68.224999999999994</c:v>
                </c:pt>
                <c:pt idx="922">
                  <c:v>69.63</c:v>
                </c:pt>
                <c:pt idx="923">
                  <c:v>68.319000000000003</c:v>
                </c:pt>
                <c:pt idx="924">
                  <c:v>70.073999999999998</c:v>
                </c:pt>
                <c:pt idx="925">
                  <c:v>70.533000000000001</c:v>
                </c:pt>
                <c:pt idx="926">
                  <c:v>72.599999999999994</c:v>
                </c:pt>
                <c:pt idx="927">
                  <c:v>70.400000000000006</c:v>
                </c:pt>
                <c:pt idx="928">
                  <c:v>73.201999999999998</c:v>
                </c:pt>
                <c:pt idx="929">
                  <c:v>73.869</c:v>
                </c:pt>
                <c:pt idx="930">
                  <c:v>74.099999999999994</c:v>
                </c:pt>
                <c:pt idx="931">
                  <c:v>71.947000000000003</c:v>
                </c:pt>
                <c:pt idx="932">
                  <c:v>68.006</c:v>
                </c:pt>
                <c:pt idx="933">
                  <c:v>75.025000000000006</c:v>
                </c:pt>
                <c:pt idx="934">
                  <c:v>80.790000000000006</c:v>
                </c:pt>
                <c:pt idx="935">
                  <c:v>79.7</c:v>
                </c:pt>
                <c:pt idx="936">
                  <c:v>79.381</c:v>
                </c:pt>
                <c:pt idx="937">
                  <c:v>77.62</c:v>
                </c:pt>
                <c:pt idx="938">
                  <c:v>79.093999999999994</c:v>
                </c:pt>
                <c:pt idx="939">
                  <c:v>80</c:v>
                </c:pt>
                <c:pt idx="940">
                  <c:v>84.13</c:v>
                </c:pt>
                <c:pt idx="941">
                  <c:v>85.27</c:v>
                </c:pt>
                <c:pt idx="942">
                  <c:v>88.022000000000006</c:v>
                </c:pt>
                <c:pt idx="943">
                  <c:v>90.158000000000001</c:v>
                </c:pt>
                <c:pt idx="944">
                  <c:v>95.138000000000005</c:v>
                </c:pt>
                <c:pt idx="945">
                  <c:v>86.429000000000002</c:v>
                </c:pt>
                <c:pt idx="946">
                  <c:v>88.049000000000007</c:v>
                </c:pt>
                <c:pt idx="947">
                  <c:v>91.055000000000007</c:v>
                </c:pt>
                <c:pt idx="948">
                  <c:v>89.576999999999998</c:v>
                </c:pt>
                <c:pt idx="949">
                  <c:v>86.93</c:v>
                </c:pt>
                <c:pt idx="950">
                  <c:v>90.388000000000005</c:v>
                </c:pt>
                <c:pt idx="951">
                  <c:v>86.7</c:v>
                </c:pt>
                <c:pt idx="952">
                  <c:v>89.796999999999997</c:v>
                </c:pt>
                <c:pt idx="953">
                  <c:v>92.3</c:v>
                </c:pt>
                <c:pt idx="954">
                  <c:v>91.141000000000005</c:v>
                </c:pt>
                <c:pt idx="955">
                  <c:v>93.941000000000003</c:v>
                </c:pt>
                <c:pt idx="956">
                  <c:v>95.850999999999999</c:v>
                </c:pt>
                <c:pt idx="957">
                  <c:v>93.111999999999995</c:v>
                </c:pt>
                <c:pt idx="958">
                  <c:v>90</c:v>
                </c:pt>
                <c:pt idx="959">
                  <c:v>90.299000000000007</c:v>
                </c:pt>
                <c:pt idx="960">
                  <c:v>88.447999999999993</c:v>
                </c:pt>
                <c:pt idx="961">
                  <c:v>88.483999999999995</c:v>
                </c:pt>
                <c:pt idx="962">
                  <c:v>90.406000000000006</c:v>
                </c:pt>
                <c:pt idx="963">
                  <c:v>86.866</c:v>
                </c:pt>
                <c:pt idx="964">
                  <c:v>88.7</c:v>
                </c:pt>
                <c:pt idx="965">
                  <c:v>87.441999999999993</c:v>
                </c:pt>
                <c:pt idx="966">
                  <c:v>83.926000000000002</c:v>
                </c:pt>
                <c:pt idx="967">
                  <c:v>87.42</c:v>
                </c:pt>
                <c:pt idx="968">
                  <c:v>89.698999999999998</c:v>
                </c:pt>
                <c:pt idx="969">
                  <c:v>89.097999999999999</c:v>
                </c:pt>
                <c:pt idx="970">
                  <c:v>86.433000000000007</c:v>
                </c:pt>
                <c:pt idx="971">
                  <c:v>88.34</c:v>
                </c:pt>
                <c:pt idx="972">
                  <c:v>84.97</c:v>
                </c:pt>
                <c:pt idx="973">
                  <c:v>83.15</c:v>
                </c:pt>
                <c:pt idx="974">
                  <c:v>78.103999999999999</c:v>
                </c:pt>
                <c:pt idx="975">
                  <c:v>80.769000000000005</c:v>
                </c:pt>
                <c:pt idx="976">
                  <c:v>83.95</c:v>
                </c:pt>
                <c:pt idx="977">
                  <c:v>78.867999999999995</c:v>
                </c:pt>
                <c:pt idx="978">
                  <c:v>83.817999999999998</c:v>
                </c:pt>
                <c:pt idx="979">
                  <c:v>87.594999999999999</c:v>
                </c:pt>
                <c:pt idx="980">
                  <c:v>87.24</c:v>
                </c:pt>
                <c:pt idx="981">
                  <c:v>85.076999999999998</c:v>
                </c:pt>
                <c:pt idx="982">
                  <c:v>84.448999999999998</c:v>
                </c:pt>
                <c:pt idx="983">
                  <c:v>87.789000000000001</c:v>
                </c:pt>
                <c:pt idx="984">
                  <c:v>89.39</c:v>
                </c:pt>
                <c:pt idx="985">
                  <c:v>91.097999999999999</c:v>
                </c:pt>
                <c:pt idx="986">
                  <c:v>89.483000000000004</c:v>
                </c:pt>
                <c:pt idx="987">
                  <c:v>90.528999999999996</c:v>
                </c:pt>
                <c:pt idx="988">
                  <c:v>90.305000000000007</c:v>
                </c:pt>
                <c:pt idx="989">
                  <c:v>90.477999999999994</c:v>
                </c:pt>
                <c:pt idx="990">
                  <c:v>89.599000000000004</c:v>
                </c:pt>
                <c:pt idx="991">
                  <c:v>92.471999999999994</c:v>
                </c:pt>
                <c:pt idx="992">
                  <c:v>94.91</c:v>
                </c:pt>
                <c:pt idx="993">
                  <c:v>94.369</c:v>
                </c:pt>
                <c:pt idx="994">
                  <c:v>93.75</c:v>
                </c:pt>
                <c:pt idx="995">
                  <c:v>93.599000000000004</c:v>
                </c:pt>
                <c:pt idx="996">
                  <c:v>95.459000000000003</c:v>
                </c:pt>
                <c:pt idx="997">
                  <c:v>102.02800000000001</c:v>
                </c:pt>
                <c:pt idx="998">
                  <c:v>104.449</c:v>
                </c:pt>
                <c:pt idx="999">
                  <c:v>110.244</c:v>
                </c:pt>
                <c:pt idx="1000">
                  <c:v>113.05</c:v>
                </c:pt>
                <c:pt idx="1001">
                  <c:v>114.65</c:v>
                </c:pt>
                <c:pt idx="1002">
                  <c:v>112.52</c:v>
                </c:pt>
                <c:pt idx="1003">
                  <c:v>113.621</c:v>
                </c:pt>
                <c:pt idx="1004">
                  <c:v>115.71599999999999</c:v>
                </c:pt>
                <c:pt idx="1005">
                  <c:v>118.371</c:v>
                </c:pt>
                <c:pt idx="1006">
                  <c:v>124.048</c:v>
                </c:pt>
                <c:pt idx="1007">
                  <c:v>119.77</c:v>
                </c:pt>
                <c:pt idx="1008">
                  <c:v>120.37</c:v>
                </c:pt>
                <c:pt idx="1009">
                  <c:v>121.77</c:v>
                </c:pt>
                <c:pt idx="1010">
                  <c:v>123.06</c:v>
                </c:pt>
                <c:pt idx="1011">
                  <c:v>129.38999999999999</c:v>
                </c:pt>
                <c:pt idx="1012">
                  <c:v>129.96</c:v>
                </c:pt>
                <c:pt idx="1013">
                  <c:v>132.99</c:v>
                </c:pt>
                <c:pt idx="1014">
                  <c:v>131.13999999999999</c:v>
                </c:pt>
                <c:pt idx="1015">
                  <c:v>139.80000000000001</c:v>
                </c:pt>
                <c:pt idx="1016">
                  <c:v>127.12</c:v>
                </c:pt>
                <c:pt idx="1017">
                  <c:v>123.24</c:v>
                </c:pt>
                <c:pt idx="1018">
                  <c:v>121.2</c:v>
                </c:pt>
                <c:pt idx="1019">
                  <c:v>126.13</c:v>
                </c:pt>
                <c:pt idx="1020">
                  <c:v>124.1</c:v>
                </c:pt>
                <c:pt idx="1021">
                  <c:v>124.58</c:v>
                </c:pt>
                <c:pt idx="1022">
                  <c:v>123.47</c:v>
                </c:pt>
                <c:pt idx="1023">
                  <c:v>121.13</c:v>
                </c:pt>
                <c:pt idx="1024">
                  <c:v>121.66</c:v>
                </c:pt>
                <c:pt idx="1025">
                  <c:v>127.38</c:v>
                </c:pt>
                <c:pt idx="1026">
                  <c:v>127.49</c:v>
                </c:pt>
                <c:pt idx="1027">
                  <c:v>130.35</c:v>
                </c:pt>
                <c:pt idx="1028">
                  <c:v>134.03</c:v>
                </c:pt>
                <c:pt idx="1029">
                  <c:v>135.75</c:v>
                </c:pt>
                <c:pt idx="1030">
                  <c:v>128.26</c:v>
                </c:pt>
                <c:pt idx="1031">
                  <c:v>130.56</c:v>
                </c:pt>
                <c:pt idx="1032">
                  <c:v>128.44</c:v>
                </c:pt>
                <c:pt idx="1033">
                  <c:v>121.35</c:v>
                </c:pt>
                <c:pt idx="1034">
                  <c:v>121.85</c:v>
                </c:pt>
                <c:pt idx="1035">
                  <c:v>120.35</c:v>
                </c:pt>
                <c:pt idx="1036">
                  <c:v>120.35</c:v>
                </c:pt>
                <c:pt idx="1037">
                  <c:v>122.78</c:v>
                </c:pt>
                <c:pt idx="1038">
                  <c:v>119.17</c:v>
                </c:pt>
                <c:pt idx="1039">
                  <c:v>113.04</c:v>
                </c:pt>
                <c:pt idx="1040">
                  <c:v>116.19</c:v>
                </c:pt>
                <c:pt idx="1041">
                  <c:v>113.69</c:v>
                </c:pt>
                <c:pt idx="1042">
                  <c:v>111.52</c:v>
                </c:pt>
                <c:pt idx="1043">
                  <c:v>112.9</c:v>
                </c:pt>
                <c:pt idx="1044">
                  <c:v>117.53</c:v>
                </c:pt>
                <c:pt idx="1045">
                  <c:v>103.76</c:v>
                </c:pt>
                <c:pt idx="1046">
                  <c:v>92.06</c:v>
                </c:pt>
                <c:pt idx="1047">
                  <c:v>103.84</c:v>
                </c:pt>
                <c:pt idx="1048">
                  <c:v>107.81</c:v>
                </c:pt>
                <c:pt idx="1049">
                  <c:v>102</c:v>
                </c:pt>
                <c:pt idx="1050">
                  <c:v>105.64</c:v>
                </c:pt>
                <c:pt idx="1051">
                  <c:v>106.32</c:v>
                </c:pt>
                <c:pt idx="1052">
                  <c:v>112.44</c:v>
                </c:pt>
                <c:pt idx="1053">
                  <c:v>118.53</c:v>
                </c:pt>
                <c:pt idx="1054">
                  <c:v>118.76</c:v>
                </c:pt>
                <c:pt idx="1055">
                  <c:v>121.94</c:v>
                </c:pt>
                <c:pt idx="1056">
                  <c:v>124.28</c:v>
                </c:pt>
                <c:pt idx="1057">
                  <c:v>128.4</c:v>
                </c:pt>
                <c:pt idx="1058">
                  <c:v>127.315</c:v>
                </c:pt>
                <c:pt idx="1059">
                  <c:v>130.02000000000001</c:v>
                </c:pt>
                <c:pt idx="1060">
                  <c:v>125.86</c:v>
                </c:pt>
                <c:pt idx="1061">
                  <c:v>129.57</c:v>
                </c:pt>
                <c:pt idx="1062">
                  <c:v>125.05</c:v>
                </c:pt>
                <c:pt idx="1063">
                  <c:v>128.12</c:v>
                </c:pt>
                <c:pt idx="1064">
                  <c:v>121.355</c:v>
                </c:pt>
                <c:pt idx="1065">
                  <c:v>119.53</c:v>
                </c:pt>
                <c:pt idx="1066">
                  <c:v>116.01</c:v>
                </c:pt>
                <c:pt idx="1067">
                  <c:v>105.41</c:v>
                </c:pt>
                <c:pt idx="1068">
                  <c:v>104.985</c:v>
                </c:pt>
                <c:pt idx="1069">
                  <c:v>108.04</c:v>
                </c:pt>
                <c:pt idx="1070">
                  <c:v>104.88</c:v>
                </c:pt>
                <c:pt idx="1071">
                  <c:v>107.81</c:v>
                </c:pt>
                <c:pt idx="1072">
                  <c:v>109.39</c:v>
                </c:pt>
                <c:pt idx="1073">
                  <c:v>116.84</c:v>
                </c:pt>
                <c:pt idx="1074">
                  <c:v>119.08</c:v>
                </c:pt>
                <c:pt idx="1075">
                  <c:v>116.79</c:v>
                </c:pt>
                <c:pt idx="1076">
                  <c:v>118.17</c:v>
                </c:pt>
                <c:pt idx="1077">
                  <c:v>115.89</c:v>
                </c:pt>
                <c:pt idx="1078">
                  <c:v>117.35</c:v>
                </c:pt>
                <c:pt idx="1079">
                  <c:v>117.06</c:v>
                </c:pt>
                <c:pt idx="1080">
                  <c:v>116.55</c:v>
                </c:pt>
                <c:pt idx="1081">
                  <c:v>116.515</c:v>
                </c:pt>
                <c:pt idx="1082">
                  <c:v>122.02</c:v>
                </c:pt>
                <c:pt idx="1083">
                  <c:v>126.8</c:v>
                </c:pt>
                <c:pt idx="1084">
                  <c:v>123.97</c:v>
                </c:pt>
                <c:pt idx="1085">
                  <c:v>118.31</c:v>
                </c:pt>
                <c:pt idx="1086">
                  <c:v>121.765</c:v>
                </c:pt>
                <c:pt idx="1087">
                  <c:v>116.44</c:v>
                </c:pt>
                <c:pt idx="1088">
                  <c:v>120.92</c:v>
                </c:pt>
                <c:pt idx="1089">
                  <c:v>124.94</c:v>
                </c:pt>
                <c:pt idx="1090">
                  <c:v>124.99</c:v>
                </c:pt>
                <c:pt idx="1091">
                  <c:v>130.26</c:v>
                </c:pt>
                <c:pt idx="1092">
                  <c:v>134.11000000000001</c:v>
                </c:pt>
                <c:pt idx="1093">
                  <c:v>131.91</c:v>
                </c:pt>
                <c:pt idx="1094">
                  <c:v>134.01</c:v>
                </c:pt>
                <c:pt idx="1095">
                  <c:v>136.47</c:v>
                </c:pt>
                <c:pt idx="1096">
                  <c:v>137.87</c:v>
                </c:pt>
                <c:pt idx="1097">
                  <c:v>133.97999999999999</c:v>
                </c:pt>
                <c:pt idx="1098">
                  <c:v>139.34</c:v>
                </c:pt>
                <c:pt idx="1099">
                  <c:v>138.66499999999999</c:v>
                </c:pt>
                <c:pt idx="1100">
                  <c:v>138.13</c:v>
                </c:pt>
                <c:pt idx="1101">
                  <c:v>142.91</c:v>
                </c:pt>
                <c:pt idx="1102">
                  <c:v>142.03</c:v>
                </c:pt>
                <c:pt idx="1103">
                  <c:v>140.82</c:v>
                </c:pt>
                <c:pt idx="1104">
                  <c:v>140.93</c:v>
                </c:pt>
                <c:pt idx="1105">
                  <c:v>143</c:v>
                </c:pt>
                <c:pt idx="1106">
                  <c:v>140.285</c:v>
                </c:pt>
                <c:pt idx="1107">
                  <c:v>139.54</c:v>
                </c:pt>
                <c:pt idx="1108">
                  <c:v>137.6</c:v>
                </c:pt>
                <c:pt idx="1109">
                  <c:v>134.69999999999999</c:v>
                </c:pt>
                <c:pt idx="1110">
                  <c:v>137.21</c:v>
                </c:pt>
                <c:pt idx="1111">
                  <c:v>137.44999999999999</c:v>
                </c:pt>
                <c:pt idx="1112">
                  <c:v>142.96</c:v>
                </c:pt>
                <c:pt idx="1113">
                  <c:v>146.38999999999999</c:v>
                </c:pt>
                <c:pt idx="1114">
                  <c:v>148.77000000000001</c:v>
                </c:pt>
                <c:pt idx="1115">
                  <c:v>148.68</c:v>
                </c:pt>
                <c:pt idx="1116">
                  <c:v>146.78</c:v>
                </c:pt>
                <c:pt idx="1117">
                  <c:v>149.07</c:v>
                </c:pt>
                <c:pt idx="1118">
                  <c:v>147.63999999999999</c:v>
                </c:pt>
                <c:pt idx="1119">
                  <c:v>144.87</c:v>
                </c:pt>
                <c:pt idx="1120">
                  <c:v>139.5</c:v>
                </c:pt>
                <c:pt idx="1121">
                  <c:v>141.32</c:v>
                </c:pt>
                <c:pt idx="1122">
                  <c:v>147.41</c:v>
                </c:pt>
                <c:pt idx="1123">
                  <c:v>149.35</c:v>
                </c:pt>
                <c:pt idx="1124">
                  <c:v>145.93</c:v>
                </c:pt>
                <c:pt idx="1125">
                  <c:v>141.99</c:v>
                </c:pt>
                <c:pt idx="1126">
                  <c:v>137.69999999999999</c:v>
                </c:pt>
                <c:pt idx="1127">
                  <c:v>135.01</c:v>
                </c:pt>
                <c:pt idx="1128">
                  <c:v>136.78</c:v>
                </c:pt>
                <c:pt idx="1129">
                  <c:v>138.83000000000001</c:v>
                </c:pt>
                <c:pt idx="1130">
                  <c:v>138.26</c:v>
                </c:pt>
                <c:pt idx="1131">
                  <c:v>141.995</c:v>
                </c:pt>
                <c:pt idx="1132">
                  <c:v>145.11000000000001</c:v>
                </c:pt>
                <c:pt idx="1133">
                  <c:v>144.6</c:v>
                </c:pt>
                <c:pt idx="1134">
                  <c:v>138.97</c:v>
                </c:pt>
                <c:pt idx="1135">
                  <c:v>139.01</c:v>
                </c:pt>
                <c:pt idx="1136">
                  <c:v>137.36000000000001</c:v>
                </c:pt>
                <c:pt idx="1137">
                  <c:v>137.08000000000001</c:v>
                </c:pt>
                <c:pt idx="1138">
                  <c:v>138.94</c:v>
                </c:pt>
                <c:pt idx="1139">
                  <c:v>134.18</c:v>
                </c:pt>
                <c:pt idx="1140">
                  <c:v>129.09</c:v>
                </c:pt>
                <c:pt idx="1141">
                  <c:v>133.86000000000001</c:v>
                </c:pt>
                <c:pt idx="1142">
                  <c:v>131.76</c:v>
                </c:pt>
                <c:pt idx="1143">
                  <c:v>129.81</c:v>
                </c:pt>
                <c:pt idx="1144">
                  <c:v>136.28</c:v>
                </c:pt>
                <c:pt idx="1145">
                  <c:v>140</c:v>
                </c:pt>
                <c:pt idx="1146">
                  <c:v>139.69999999999999</c:v>
                </c:pt>
                <c:pt idx="1147">
                  <c:v>138.55000000000001</c:v>
                </c:pt>
                <c:pt idx="1148">
                  <c:v>134.83000000000001</c:v>
                </c:pt>
                <c:pt idx="1149">
                  <c:v>138.03</c:v>
                </c:pt>
                <c:pt idx="1150">
                  <c:v>136</c:v>
                </c:pt>
                <c:pt idx="1151">
                  <c:v>140.01</c:v>
                </c:pt>
                <c:pt idx="1152">
                  <c:v>148.59</c:v>
                </c:pt>
                <c:pt idx="1153">
                  <c:v>153.03</c:v>
                </c:pt>
                <c:pt idx="1154">
                  <c:v>142.58000000000001</c:v>
                </c:pt>
                <c:pt idx="1155">
                  <c:v>137.44999999999999</c:v>
                </c:pt>
                <c:pt idx="1156">
                  <c:v>129.99</c:v>
                </c:pt>
                <c:pt idx="1157">
                  <c:v>136.05000000000001</c:v>
                </c:pt>
                <c:pt idx="1158">
                  <c:v>133.65</c:v>
                </c:pt>
                <c:pt idx="1159">
                  <c:v>138.63999999999999</c:v>
                </c:pt>
                <c:pt idx="1160">
                  <c:v>136.69</c:v>
                </c:pt>
                <c:pt idx="1161">
                  <c:v>139.16</c:v>
                </c:pt>
                <c:pt idx="1162">
                  <c:v>144.66</c:v>
                </c:pt>
                <c:pt idx="1163">
                  <c:v>145.05000000000001</c:v>
                </c:pt>
                <c:pt idx="1164">
                  <c:v>148.37</c:v>
                </c:pt>
                <c:pt idx="1165">
                  <c:v>124.8</c:v>
                </c:pt>
                <c:pt idx="1166">
                  <c:v>121.81</c:v>
                </c:pt>
                <c:pt idx="1167">
                  <c:v>126.5</c:v>
                </c:pt>
                <c:pt idx="1168">
                  <c:v>123.1</c:v>
                </c:pt>
                <c:pt idx="1169">
                  <c:v>123.78</c:v>
                </c:pt>
                <c:pt idx="1170">
                  <c:v>114.75</c:v>
                </c:pt>
                <c:pt idx="1171">
                  <c:v>116.96</c:v>
                </c:pt>
                <c:pt idx="1172">
                  <c:v>121.76</c:v>
                </c:pt>
                <c:pt idx="1173">
                  <c:v>127.42</c:v>
                </c:pt>
                <c:pt idx="1174">
                  <c:v>129.22</c:v>
                </c:pt>
                <c:pt idx="1175">
                  <c:v>130.09</c:v>
                </c:pt>
                <c:pt idx="1176">
                  <c:v>132.58000000000001</c:v>
                </c:pt>
                <c:pt idx="1177">
                  <c:v>130.02000000000001</c:v>
                </c:pt>
                <c:pt idx="1178">
                  <c:v>131.55500000000001</c:v>
                </c:pt>
                <c:pt idx="1179">
                  <c:v>136.47999999999999</c:v>
                </c:pt>
                <c:pt idx="1180">
                  <c:v>141.27000000000001</c:v>
                </c:pt>
                <c:pt idx="1181">
                  <c:v>139.51</c:v>
                </c:pt>
                <c:pt idx="1182">
                  <c:v>140.03</c:v>
                </c:pt>
                <c:pt idx="1183">
                  <c:v>140.04</c:v>
                </c:pt>
                <c:pt idx="1184">
                  <c:v>136.56</c:v>
                </c:pt>
                <c:pt idx="1185">
                  <c:v>129.97999999999999</c:v>
                </c:pt>
                <c:pt idx="1186">
                  <c:v>129.98500000000001</c:v>
                </c:pt>
                <c:pt idx="1187">
                  <c:v>135</c:v>
                </c:pt>
                <c:pt idx="1188">
                  <c:v>118.02</c:v>
                </c:pt>
                <c:pt idx="1189">
                  <c:v>123.51</c:v>
                </c:pt>
                <c:pt idx="1190">
                  <c:v>110.645</c:v>
                </c:pt>
                <c:pt idx="1191">
                  <c:v>117.58</c:v>
                </c:pt>
                <c:pt idx="1192">
                  <c:v>113.53</c:v>
                </c:pt>
                <c:pt idx="1193">
                  <c:v>111.25</c:v>
                </c:pt>
                <c:pt idx="1194">
                  <c:v>109.9</c:v>
                </c:pt>
                <c:pt idx="1195">
                  <c:v>106.99</c:v>
                </c:pt>
                <c:pt idx="1196">
                  <c:v>114.12</c:v>
                </c:pt>
                <c:pt idx="1197">
                  <c:v>117.03</c:v>
                </c:pt>
                <c:pt idx="1198">
                  <c:v>118.61</c:v>
                </c:pt>
                <c:pt idx="1199">
                  <c:v>122.74</c:v>
                </c:pt>
                <c:pt idx="1200">
                  <c:v>118</c:v>
                </c:pt>
                <c:pt idx="1201">
                  <c:v>117.27</c:v>
                </c:pt>
                <c:pt idx="1202">
                  <c:v>116.55</c:v>
                </c:pt>
                <c:pt idx="1203">
                  <c:v>116.94</c:v>
                </c:pt>
                <c:pt idx="1204">
                  <c:v>119.88</c:v>
                </c:pt>
                <c:pt idx="1205">
                  <c:v>120.545</c:v>
                </c:pt>
                <c:pt idx="1206">
                  <c:v>118.73</c:v>
                </c:pt>
                <c:pt idx="1207">
                  <c:v>111.35</c:v>
                </c:pt>
                <c:pt idx="1208">
                  <c:v>111.485</c:v>
                </c:pt>
                <c:pt idx="1209">
                  <c:v>105.13</c:v>
                </c:pt>
                <c:pt idx="1210">
                  <c:v>108.515</c:v>
                </c:pt>
                <c:pt idx="1211">
                  <c:v>107.29</c:v>
                </c:pt>
                <c:pt idx="1212">
                  <c:v>103.51</c:v>
                </c:pt>
                <c:pt idx="1213">
                  <c:v>98.893000000000001</c:v>
                </c:pt>
                <c:pt idx="1214">
                  <c:v>87.46</c:v>
                </c:pt>
                <c:pt idx="1215">
                  <c:v>103.80500000000001</c:v>
                </c:pt>
                <c:pt idx="1216">
                  <c:v>98.89</c:v>
                </c:pt>
                <c:pt idx="1217">
                  <c:v>109.37</c:v>
                </c:pt>
                <c:pt idx="1218">
                  <c:v>108.5</c:v>
                </c:pt>
                <c:pt idx="1219">
                  <c:v>114.11</c:v>
                </c:pt>
                <c:pt idx="1220">
                  <c:v>110.97</c:v>
                </c:pt>
                <c:pt idx="1221">
                  <c:v>104.55</c:v>
                </c:pt>
                <c:pt idx="1222">
                  <c:v>104.45</c:v>
                </c:pt>
                <c:pt idx="1223">
                  <c:v>98.77</c:v>
                </c:pt>
                <c:pt idx="1224">
                  <c:v>98.78</c:v>
                </c:pt>
                <c:pt idx="1225">
                  <c:v>104.52</c:v>
                </c:pt>
                <c:pt idx="1226">
                  <c:v>103.47499999999999</c:v>
                </c:pt>
                <c:pt idx="1227">
                  <c:v>106.85</c:v>
                </c:pt>
                <c:pt idx="1228">
                  <c:v>109.69</c:v>
                </c:pt>
                <c:pt idx="1229">
                  <c:v>107.67</c:v>
                </c:pt>
                <c:pt idx="1230">
                  <c:v>104.47</c:v>
                </c:pt>
                <c:pt idx="1231">
                  <c:v>113.08</c:v>
                </c:pt>
                <c:pt idx="1232">
                  <c:v>114.18</c:v>
                </c:pt>
                <c:pt idx="1233">
                  <c:v>112.905</c:v>
                </c:pt>
                <c:pt idx="1234">
                  <c:v>111.48</c:v>
                </c:pt>
                <c:pt idx="1235">
                  <c:v>113.045</c:v>
                </c:pt>
                <c:pt idx="1236">
                  <c:v>118.25</c:v>
                </c:pt>
                <c:pt idx="1237">
                  <c:v>117.35</c:v>
                </c:pt>
                <c:pt idx="1238">
                  <c:v>121.97</c:v>
                </c:pt>
                <c:pt idx="1239">
                  <c:v>124.98</c:v>
                </c:pt>
                <c:pt idx="1240">
                  <c:v>133.19499999999999</c:v>
                </c:pt>
                <c:pt idx="1241">
                  <c:v>134.29499999999999</c:v>
                </c:pt>
                <c:pt idx="1242">
                  <c:v>136.22</c:v>
                </c:pt>
                <c:pt idx="1243">
                  <c:v>132.38999999999999</c:v>
                </c:pt>
                <c:pt idx="1244">
                  <c:v>134.29</c:v>
                </c:pt>
                <c:pt idx="1245">
                  <c:v>133.06</c:v>
                </c:pt>
                <c:pt idx="1246">
                  <c:v>132.22999999999999</c:v>
                </c:pt>
                <c:pt idx="1247">
                  <c:v>130</c:v>
                </c:pt>
                <c:pt idx="1248">
                  <c:v>134.15</c:v>
                </c:pt>
                <c:pt idx="1249">
                  <c:v>136.02500000000001</c:v>
                </c:pt>
                <c:pt idx="1250">
                  <c:v>142.245</c:v>
                </c:pt>
                <c:pt idx="1251">
                  <c:v>138.715</c:v>
                </c:pt>
                <c:pt idx="1252">
                  <c:v>135.49</c:v>
                </c:pt>
                <c:pt idx="1253">
                  <c:v>138.78</c:v>
                </c:pt>
                <c:pt idx="1254">
                  <c:v>142.19</c:v>
                </c:pt>
                <c:pt idx="1255">
                  <c:v>142.16999999999999</c:v>
                </c:pt>
                <c:pt idx="1256">
                  <c:v>142.51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C-1745-AF99-F54555B05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5198559"/>
        <c:axId val="1315427759"/>
      </c:lineChart>
      <c:dateAx>
        <c:axId val="13151985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5427759"/>
        <c:crosses val="autoZero"/>
        <c:auto val="1"/>
        <c:lblOffset val="100"/>
        <c:baseTimeUnit val="days"/>
      </c:dateAx>
      <c:valAx>
        <c:axId val="13154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519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156789</xdr:colOff>
      <xdr:row>17</xdr:row>
      <xdr:rowOff>15679</xdr:rowOff>
    </xdr:from>
    <xdr:to>
      <xdr:col>14</xdr:col>
      <xdr:colOff>1021522</xdr:colOff>
      <xdr:row>37</xdr:row>
      <xdr:rowOff>13804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C8543A8-4A41-A046-AF3B-1109780BA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813594</xdr:colOff>
      <xdr:row>1</xdr:row>
      <xdr:rowOff>173182</xdr:rowOff>
    </xdr:from>
    <xdr:to>
      <xdr:col>18</xdr:col>
      <xdr:colOff>50799</xdr:colOff>
      <xdr:row>11</xdr:row>
      <xdr:rowOff>91650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B6446F6-72FF-1846-A0BE-A957FD90D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276087</xdr:colOff>
      <xdr:row>3</xdr:row>
      <xdr:rowOff>27609</xdr:rowOff>
    </xdr:from>
    <xdr:to>
      <xdr:col>2</xdr:col>
      <xdr:colOff>869673</xdr:colOff>
      <xdr:row>10</xdr:row>
      <xdr:rowOff>82173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883083DD-C6AC-4A79-F839-3E6A5FB2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28145" t="16447" r="33792" b="37749"/>
        <a:stretch>
          <a:fillRect/>
        </a:stretch>
      </xdr:blipFill>
      <xdr:spPr>
        <a:xfrm>
          <a:off x="635000" y="828261"/>
          <a:ext cx="2360543" cy="1600651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0.71176</cdr:x>
      <cdr:y>0.36909</cdr:y>
    </cdr:from>
    <cdr:to>
      <cdr:x>0.78401</cdr:x>
      <cdr:y>0.44164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48515089-34B7-2542-29C3-1267215C8601}"/>
            </a:ext>
          </a:extLst>
        </cdr:cNvPr>
        <cdr:cNvSpPr txBox="1"/>
      </cdr:nvSpPr>
      <cdr:spPr>
        <a:xfrm xmlns:a="http://schemas.openxmlformats.org/drawingml/2006/main">
          <a:off x="14518766" y="1834445"/>
          <a:ext cx="1473827" cy="360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de-DE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596900</xdr:colOff>
      <xdr:row>994</xdr:row>
      <xdr:rowOff>114300</xdr:rowOff>
    </xdr:from>
    <xdr:to>
      <xdr:col>14</xdr:col>
      <xdr:colOff>215900</xdr:colOff>
      <xdr:row>1008</xdr:row>
      <xdr:rowOff>12700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547C34B-48A6-8855-3E63-4586F4014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erschuurmann/Desktop/NVIDIA%20Corporation%20(NVDA_US)-3.xlsx" TargetMode="External"/><Relationship Id="rId1" Type="http://schemas.openxmlformats.org/officeDocument/2006/relationships/externalLinkPath" Target="NVIDIA%20Corporation%20(NVDA_US)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Income Statement"/>
      <sheetName val="Balance Sheet"/>
      <sheetName val="Cash Flow Statement"/>
      <sheetName val="Ratios"/>
    </sheetNames>
    <sheetDataSet>
      <sheetData sheetId="0" refreshError="1"/>
      <sheetData sheetId="1">
        <row r="14">
          <cell r="B14">
            <v>251.762</v>
          </cell>
          <cell r="C14">
            <v>143.98599999999999</v>
          </cell>
          <cell r="D14">
            <v>93.656999999999996</v>
          </cell>
          <cell r="E14">
            <v>95.176000000000002</v>
          </cell>
          <cell r="F14">
            <v>336.66399999999999</v>
          </cell>
          <cell r="G14">
            <v>453.452</v>
          </cell>
          <cell r="H14">
            <v>836.346</v>
          </cell>
          <cell r="I14">
            <v>-43.832000000000001</v>
          </cell>
          <cell r="J14">
            <v>-98.944999999999993</v>
          </cell>
          <cell r="K14">
            <v>198.74700000000001</v>
          </cell>
          <cell r="L14">
            <v>648.29899999999998</v>
          </cell>
          <cell r="M14">
            <v>648.23900000000003</v>
          </cell>
          <cell r="N14">
            <v>496</v>
          </cell>
          <cell r="O14">
            <v>759</v>
          </cell>
          <cell r="P14">
            <v>878</v>
          </cell>
          <cell r="Q14">
            <v>1937</v>
          </cell>
          <cell r="R14">
            <v>3210</v>
          </cell>
          <cell r="S14">
            <v>3804</v>
          </cell>
          <cell r="T14">
            <v>2846</v>
          </cell>
          <cell r="U14">
            <v>4532</v>
          </cell>
          <cell r="V14">
            <v>10041</v>
          </cell>
          <cell r="W14">
            <v>5577</v>
          </cell>
          <cell r="X14">
            <v>32972</v>
          </cell>
          <cell r="Y14">
            <v>81453</v>
          </cell>
          <cell r="Z14">
            <v>86183</v>
          </cell>
        </row>
      </sheetData>
      <sheetData sheetId="2" refreshError="1"/>
      <sheetData sheetId="3">
        <row r="7">
          <cell r="B7">
            <v>43.497</v>
          </cell>
          <cell r="C7">
            <v>58.216000000000001</v>
          </cell>
          <cell r="D7">
            <v>82.688000000000002</v>
          </cell>
          <cell r="E7">
            <v>102.59699999999999</v>
          </cell>
          <cell r="F7">
            <v>97.977000000000004</v>
          </cell>
          <cell r="G7">
            <v>107.562</v>
          </cell>
          <cell r="H7">
            <v>133.19200000000001</v>
          </cell>
          <cell r="I7">
            <v>185.023</v>
          </cell>
          <cell r="J7">
            <v>196.66399999999999</v>
          </cell>
          <cell r="K7">
            <v>187</v>
          </cell>
          <cell r="L7">
            <v>204.2</v>
          </cell>
          <cell r="M7">
            <v>226</v>
          </cell>
          <cell r="N7">
            <v>237</v>
          </cell>
          <cell r="O7">
            <v>220</v>
          </cell>
          <cell r="P7">
            <v>197</v>
          </cell>
          <cell r="Q7">
            <v>186</v>
          </cell>
          <cell r="R7">
            <v>199</v>
          </cell>
          <cell r="S7">
            <v>262</v>
          </cell>
          <cell r="T7">
            <v>380</v>
          </cell>
          <cell r="U7">
            <v>1098</v>
          </cell>
          <cell r="V7">
            <v>1174</v>
          </cell>
          <cell r="W7">
            <v>1543</v>
          </cell>
          <cell r="X7">
            <v>1508</v>
          </cell>
          <cell r="Y7">
            <v>1864</v>
          </cell>
          <cell r="Z7">
            <v>2065</v>
          </cell>
        </row>
      </sheetData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79D8A-4B84-1143-AC19-3430E8F0BEC3}" name="Tabelle1" displayName="Tabelle1" ref="C2:D1752" totalsRowShown="0" headerRowDxfId="0">
  <autoFilter ref="C2:D1752" xr:uid="{11479D8A-4B84-1143-AC19-3430E8F0BEC3}"/>
  <sortState xmlns:xlrd2="http://schemas.microsoft.com/office/spreadsheetml/2017/richdata2" ref="C3:D1752">
    <sortCondition ref="C2:C1752"/>
  </sortState>
  <tableColumns count="2">
    <tableColumn id="1" xr3:uid="{DD3B5981-5128-3A45-943C-B50BBC5C4509}" name="Datum"/>
    <tableColumn id="2" xr3:uid="{FE26AED2-ABD7-FA46-94E7-B04430A6BFBB}" name="Eröffnungsprei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quickfs.net/" TargetMode="External"/><Relationship Id="rId2" Type="http://schemas.openxmlformats.org/officeDocument/2006/relationships/hyperlink" Target="https://www.kroll.com/en/insights/publications/cost-of-capital/recommended-us-equity-risk-premium-and-corresponding-risk-free-rates" TargetMode="External"/><Relationship Id="rId1" Type="http://schemas.openxmlformats.org/officeDocument/2006/relationships/hyperlink" Target="https://www.cnbc.com/quotes/US10Y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quickfs.net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D967-12BF-2D48-8D3F-2839EC760386}">
  <dimension ref="B1:X3692"/>
  <sheetViews>
    <sheetView showGridLines="0" tabSelected="1" zoomScale="74" zoomScaleNormal="74" zoomScaleSheetLayoutView="28" workbookViewId="0">
      <pane ySplit="12" topLeftCell="A13" activePane="bottomLeft" state="frozen"/>
      <selection pane="bottomLeft" activeCell="P72" sqref="P72"/>
    </sheetView>
  </sheetViews>
  <sheetFormatPr baseColWidth="10" defaultRowHeight="17"/>
  <cols>
    <col min="1" max="1" width="4.6640625" customWidth="1"/>
    <col min="2" max="2" width="23.1640625" style="6" customWidth="1"/>
    <col min="3" max="3" width="19.33203125" style="6" customWidth="1"/>
    <col min="4" max="4" width="18.33203125" style="6" customWidth="1"/>
    <col min="5" max="5" width="15.83203125" style="6" customWidth="1"/>
    <col min="6" max="6" width="16.5" style="6" customWidth="1"/>
    <col min="7" max="18" width="15.83203125" style="6" customWidth="1"/>
    <col min="19" max="19" width="15.83203125" style="9" customWidth="1"/>
    <col min="20" max="24" width="15.83203125" style="6" customWidth="1"/>
    <col min="25" max="99" width="12.83203125" customWidth="1"/>
  </cols>
  <sheetData>
    <row r="1" spans="2:24" s="47" customFormat="1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2:24" s="1" customFormat="1" ht="23">
      <c r="B2" s="89" t="s">
        <v>83</v>
      </c>
      <c r="C2" s="2"/>
      <c r="D2" s="1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2:24" s="1" customFormat="1" ht="23">
      <c r="B3" s="89" t="str">
        <f>E5</f>
        <v>NVDA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2:24" s="1" customFormat="1">
      <c r="B4" s="47"/>
      <c r="C4" s="43"/>
      <c r="D4" s="135" t="s">
        <v>52</v>
      </c>
      <c r="E4" s="135"/>
      <c r="F4" s="135" t="s">
        <v>50</v>
      </c>
      <c r="G4" s="135"/>
      <c r="H4" s="7"/>
      <c r="I4" s="43"/>
      <c r="J4" s="7"/>
      <c r="K4" s="43"/>
      <c r="L4" s="4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2:24" s="1" customFormat="1">
      <c r="B5" s="47"/>
      <c r="C5" s="43"/>
      <c r="D5" s="2" t="s">
        <v>46</v>
      </c>
      <c r="E5" s="13" t="s">
        <v>121</v>
      </c>
      <c r="F5" s="2" t="s">
        <v>112</v>
      </c>
      <c r="G5" s="51">
        <f>E8*E9</f>
        <v>3493930.9499999997</v>
      </c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s="1" customFormat="1">
      <c r="B6" s="47"/>
      <c r="C6" s="2"/>
      <c r="D6" s="2" t="s">
        <v>48</v>
      </c>
      <c r="E6" s="50">
        <v>45816</v>
      </c>
      <c r="F6" s="2" t="s">
        <v>98</v>
      </c>
      <c r="G6" s="51">
        <f>BS!CP5</f>
        <v>15234</v>
      </c>
      <c r="H6" s="76" t="s">
        <v>99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2:24" s="1" customFormat="1">
      <c r="B7" s="2"/>
      <c r="C7" s="7"/>
      <c r="D7" s="2" t="s">
        <v>49</v>
      </c>
      <c r="E7" s="50">
        <v>46022</v>
      </c>
      <c r="F7" s="2" t="s">
        <v>74</v>
      </c>
      <c r="G7" s="51">
        <f>BS!CP26+BS!CP28+BS!CP32+BS!CP33+BS!CP34</f>
        <v>10285</v>
      </c>
      <c r="H7" s="76" t="s">
        <v>99</v>
      </c>
      <c r="I7" s="2"/>
      <c r="J7" s="2"/>
      <c r="K7" s="2"/>
      <c r="L7" s="15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s="1" customFormat="1">
      <c r="B8" s="47"/>
      <c r="C8" s="7"/>
      <c r="D8" s="149" t="s">
        <v>79</v>
      </c>
      <c r="E8" s="83">
        <v>142.29</v>
      </c>
      <c r="F8" s="2" t="s">
        <v>51</v>
      </c>
      <c r="G8" s="51">
        <f>G5-G6+G7</f>
        <v>3488981.9499999997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2:24" s="1" customFormat="1">
      <c r="B9" s="76"/>
      <c r="C9" s="76"/>
      <c r="D9" s="2" t="s">
        <v>53</v>
      </c>
      <c r="E9" s="51">
        <f>IS!Z31</f>
        <v>24555</v>
      </c>
      <c r="F9" s="2" t="s">
        <v>54</v>
      </c>
      <c r="G9" s="52">
        <f>G8/E9</f>
        <v>142.08845245367542</v>
      </c>
      <c r="H9" s="2"/>
      <c r="I9" s="2"/>
      <c r="J9" s="2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s="1" customFormat="1">
      <c r="B10" s="2"/>
      <c r="C10" s="7"/>
      <c r="D10" s="2" t="s">
        <v>106</v>
      </c>
      <c r="E10" s="164">
        <f ca="1">E8/N124</f>
        <v>33.25333383247925</v>
      </c>
      <c r="F10" s="2" t="s">
        <v>116</v>
      </c>
      <c r="G10" s="163">
        <f>G8/N41</f>
        <v>17.461585564213824</v>
      </c>
      <c r="H10" s="11"/>
      <c r="I10" s="12"/>
      <c r="J10" s="12"/>
      <c r="K10" s="15"/>
      <c r="L10" s="13"/>
      <c r="M10" s="1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2:24" s="1" customFormat="1">
      <c r="B11" s="43"/>
      <c r="C11" s="7"/>
      <c r="D11" s="2" t="s">
        <v>105</v>
      </c>
      <c r="E11" s="164">
        <f ca="1">E10/((N124/J124)^(1/5)-1)/100</f>
        <v>0.54108935746983267</v>
      </c>
      <c r="F11" s="2" t="s">
        <v>117</v>
      </c>
      <c r="G11" s="163">
        <f>G8/N44</f>
        <v>28.273759724473255</v>
      </c>
      <c r="H11" s="11"/>
      <c r="I11" s="12"/>
      <c r="J11" s="12"/>
      <c r="K11" s="15"/>
      <c r="L11" s="13"/>
      <c r="M11" s="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2:24" s="1" customFormat="1">
      <c r="B12" s="43" t="s">
        <v>104</v>
      </c>
      <c r="C12" s="2"/>
      <c r="D12" s="2" t="s">
        <v>118</v>
      </c>
      <c r="E12" s="163">
        <f>G5/N41</f>
        <v>17.486354218278453</v>
      </c>
      <c r="F12" s="15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2:24" s="1" customFormat="1">
      <c r="B13" s="2"/>
      <c r="C13" s="2"/>
      <c r="D13" s="2"/>
      <c r="E13" s="2"/>
      <c r="F13" s="160" t="s">
        <v>73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2:24" s="1" customFormat="1" ht="23">
      <c r="B14" s="143" t="s">
        <v>82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2:24" s="1" customFormat="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2:24" s="1" customFormat="1">
      <c r="B16" s="135" t="s">
        <v>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2"/>
      <c r="T16" s="2"/>
      <c r="U16" s="2"/>
      <c r="V16" s="2"/>
      <c r="W16" s="2"/>
      <c r="X16" s="2"/>
    </row>
    <row r="17" spans="2:24" s="1" customForma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02"/>
      <c r="U17" s="2"/>
      <c r="V17" s="2"/>
      <c r="W17" s="2"/>
      <c r="X17" s="2"/>
    </row>
    <row r="18" spans="2:24" s="1" customFormat="1">
      <c r="B18" s="135" t="s">
        <v>2</v>
      </c>
      <c r="C18" s="85" t="s">
        <v>109</v>
      </c>
      <c r="D18" s="18" t="s">
        <v>108</v>
      </c>
      <c r="E18" s="19"/>
      <c r="F18" s="19"/>
      <c r="G18" s="20" t="s">
        <v>0</v>
      </c>
      <c r="H18" s="21" t="s">
        <v>13</v>
      </c>
      <c r="I18" s="22" t="s">
        <v>3</v>
      </c>
      <c r="J18" s="48"/>
      <c r="K18" s="2"/>
      <c r="L18" s="2"/>
      <c r="M18" s="2"/>
      <c r="N18" s="2"/>
      <c r="O18" s="2"/>
      <c r="P18" s="23" t="s">
        <v>8</v>
      </c>
      <c r="Q18" s="23"/>
      <c r="R18" s="17"/>
      <c r="S18" s="2"/>
      <c r="T18" s="12"/>
      <c r="U18" s="2"/>
      <c r="V18" s="2"/>
      <c r="W18" s="2"/>
      <c r="X18" s="2"/>
    </row>
    <row r="19" spans="2:24" s="1" customFormat="1">
      <c r="B19" s="24" t="s">
        <v>1</v>
      </c>
      <c r="C19" s="2"/>
      <c r="D19" s="25" t="s">
        <v>1</v>
      </c>
      <c r="E19" s="26"/>
      <c r="F19" s="26" t="s">
        <v>4</v>
      </c>
      <c r="G19" s="26" t="s">
        <v>55</v>
      </c>
      <c r="H19" s="26" t="s">
        <v>56</v>
      </c>
      <c r="I19" s="26" t="s">
        <v>57</v>
      </c>
      <c r="J19" s="27"/>
      <c r="K19" s="13"/>
      <c r="L19" s="2"/>
      <c r="M19" s="2"/>
      <c r="N19" s="2"/>
      <c r="O19" s="2"/>
      <c r="P19" s="27" t="s">
        <v>45</v>
      </c>
      <c r="Q19" s="27"/>
      <c r="R19" s="2"/>
      <c r="S19" s="2"/>
      <c r="T19" s="2"/>
      <c r="U19" s="2"/>
      <c r="V19" s="2"/>
      <c r="W19" s="2"/>
      <c r="X19" s="2"/>
    </row>
    <row r="20" spans="2:24" s="1" customFormat="1">
      <c r="B20" s="2" t="s">
        <v>5</v>
      </c>
      <c r="C20" s="10">
        <v>1</v>
      </c>
      <c r="D20" s="11" t="s">
        <v>5</v>
      </c>
      <c r="E20" s="43"/>
      <c r="F20" s="28" t="s">
        <v>114</v>
      </c>
      <c r="G20" s="180" t="s">
        <v>111</v>
      </c>
      <c r="H20" s="180"/>
      <c r="I20" s="180"/>
      <c r="J20" s="12"/>
      <c r="K20" s="13"/>
      <c r="L20" s="2"/>
      <c r="M20" s="2"/>
      <c r="N20" s="2"/>
      <c r="O20" s="2"/>
      <c r="P20" s="12" t="s">
        <v>37</v>
      </c>
      <c r="Q20" s="12"/>
      <c r="R20" s="53">
        <f>G5</f>
        <v>3493930.9499999997</v>
      </c>
      <c r="S20" s="2"/>
      <c r="T20" s="2"/>
      <c r="U20" s="2"/>
      <c r="V20" s="2"/>
      <c r="W20" s="2"/>
      <c r="X20" s="2"/>
    </row>
    <row r="21" spans="2:24" s="1" customFormat="1">
      <c r="B21" s="2" t="s">
        <v>6</v>
      </c>
      <c r="C21" s="10">
        <v>1</v>
      </c>
      <c r="D21" s="29" t="s">
        <v>7</v>
      </c>
      <c r="E21" s="37" t="s">
        <v>103</v>
      </c>
      <c r="F21" s="28" t="s">
        <v>115</v>
      </c>
      <c r="G21" s="72">
        <v>-0.1</v>
      </c>
      <c r="H21" s="72">
        <v>-0.05</v>
      </c>
      <c r="I21" s="72">
        <v>0.1</v>
      </c>
      <c r="J21" s="12"/>
      <c r="K21" s="13"/>
      <c r="L21" s="2"/>
      <c r="M21" s="2"/>
      <c r="N21" s="2"/>
      <c r="O21" s="2"/>
      <c r="P21" s="12" t="s">
        <v>38</v>
      </c>
      <c r="Q21" s="12"/>
      <c r="R21" s="54">
        <f>R20/(R20+R27)</f>
        <v>0.99706496399001898</v>
      </c>
      <c r="S21" s="2"/>
      <c r="T21" s="2"/>
      <c r="U21" s="2"/>
      <c r="V21" s="2"/>
      <c r="W21" s="2"/>
      <c r="X21" s="2"/>
    </row>
    <row r="22" spans="2:24" s="1" customFormat="1">
      <c r="B22" s="2" t="s">
        <v>8</v>
      </c>
      <c r="C22" s="10">
        <v>1</v>
      </c>
      <c r="D22" s="11" t="s">
        <v>78</v>
      </c>
      <c r="E22" s="43"/>
      <c r="F22" s="28" t="s">
        <v>114</v>
      </c>
      <c r="G22" s="180" t="s">
        <v>111</v>
      </c>
      <c r="H22" s="180"/>
      <c r="I22" s="180"/>
      <c r="J22" s="12"/>
      <c r="K22" s="13"/>
      <c r="L22" s="2"/>
      <c r="M22" s="2"/>
      <c r="N22" s="2"/>
      <c r="O22" s="2"/>
      <c r="P22" s="12" t="s">
        <v>39</v>
      </c>
      <c r="Q22" s="12"/>
      <c r="R22" s="74">
        <f>R23+R24*R25</f>
        <v>0.13500000000000001</v>
      </c>
      <c r="S22" s="2"/>
      <c r="T22" s="2"/>
      <c r="U22" s="2"/>
      <c r="V22" s="2"/>
      <c r="W22" s="2"/>
      <c r="X22" s="2"/>
    </row>
    <row r="23" spans="2:24" s="1" customFormat="1">
      <c r="B23" s="2" t="s">
        <v>9</v>
      </c>
      <c r="C23" s="10">
        <v>1</v>
      </c>
      <c r="D23" s="29" t="s">
        <v>10</v>
      </c>
      <c r="E23" s="37" t="s">
        <v>103</v>
      </c>
      <c r="F23" s="28" t="s">
        <v>115</v>
      </c>
      <c r="G23" s="72">
        <v>0</v>
      </c>
      <c r="H23" s="72">
        <v>1.4999999999999999E-2</v>
      </c>
      <c r="I23" s="72">
        <v>2.5000000000000001E-2</v>
      </c>
      <c r="J23" s="12"/>
      <c r="K23" s="13"/>
      <c r="L23" s="2"/>
      <c r="M23" s="2"/>
      <c r="N23" s="2"/>
      <c r="O23" s="2"/>
      <c r="P23" s="12" t="s">
        <v>63</v>
      </c>
      <c r="Q23" s="12"/>
      <c r="R23" s="74">
        <v>4.4999999999999998E-2</v>
      </c>
      <c r="S23" s="76" t="s">
        <v>62</v>
      </c>
      <c r="T23" s="76"/>
      <c r="U23" s="2"/>
      <c r="V23" s="2"/>
      <c r="W23" s="2"/>
      <c r="X23" s="2"/>
    </row>
    <row r="24" spans="2:24" s="1" customFormat="1">
      <c r="B24" s="2"/>
      <c r="C24" s="2"/>
      <c r="D24" s="11"/>
      <c r="E24" s="37"/>
      <c r="F24" s="4"/>
      <c r="G24" s="55"/>
      <c r="H24" s="55"/>
      <c r="I24" s="55"/>
      <c r="J24" s="12"/>
      <c r="K24" s="13"/>
      <c r="L24" s="2"/>
      <c r="M24" s="2"/>
      <c r="N24" s="2"/>
      <c r="O24" s="2"/>
      <c r="P24" s="12" t="s">
        <v>102</v>
      </c>
      <c r="Q24" s="12"/>
      <c r="R24" s="2">
        <v>1.8</v>
      </c>
      <c r="S24" s="76" t="s">
        <v>318</v>
      </c>
      <c r="T24" s="76"/>
      <c r="U24" s="2"/>
      <c r="V24" s="2"/>
      <c r="W24" s="2"/>
      <c r="X24" s="2"/>
    </row>
    <row r="25" spans="2:24" s="1" customFormat="1">
      <c r="B25" s="24" t="s">
        <v>11</v>
      </c>
      <c r="C25" s="2"/>
      <c r="D25" s="11" t="s">
        <v>8</v>
      </c>
      <c r="E25" s="30"/>
      <c r="F25" s="4"/>
      <c r="G25" s="72">
        <f>H25+0.01</f>
        <v>0.14971275511220625</v>
      </c>
      <c r="H25" s="73">
        <f>R34+0.005</f>
        <v>0.13971275511220624</v>
      </c>
      <c r="I25" s="72">
        <f>H25-0.01</f>
        <v>0.12971275511220623</v>
      </c>
      <c r="J25" s="12"/>
      <c r="K25" s="13"/>
      <c r="L25" s="2"/>
      <c r="M25" s="2"/>
      <c r="N25" s="2"/>
      <c r="O25" s="2"/>
      <c r="P25" s="12" t="s">
        <v>319</v>
      </c>
      <c r="Q25" s="12"/>
      <c r="R25" s="74">
        <v>0.05</v>
      </c>
      <c r="S25" s="76" t="s">
        <v>64</v>
      </c>
      <c r="T25" s="76"/>
      <c r="U25" s="2"/>
      <c r="V25" s="2"/>
      <c r="W25" s="2"/>
      <c r="X25" s="2"/>
    </row>
    <row r="26" spans="2:24" s="1" customFormat="1">
      <c r="B26" s="2" t="s">
        <v>8</v>
      </c>
      <c r="C26" s="72">
        <f>CHOOSE(C22,G25,H25,I25)</f>
        <v>0.14971275511220625</v>
      </c>
      <c r="D26" s="11" t="s">
        <v>110</v>
      </c>
      <c r="E26" s="2"/>
      <c r="F26" s="4"/>
      <c r="G26" s="72">
        <f>H26-0.002</f>
        <v>1.8000000000000002E-2</v>
      </c>
      <c r="H26" s="72">
        <v>0.02</v>
      </c>
      <c r="I26" s="72">
        <f>H26+0.002</f>
        <v>2.1999999999999999E-2</v>
      </c>
      <c r="J26" s="2"/>
      <c r="K26" s="13"/>
      <c r="L26" s="2"/>
      <c r="M26" s="2"/>
      <c r="N26" s="2"/>
      <c r="O26" s="2"/>
      <c r="P26" s="2" t="s">
        <v>324</v>
      </c>
      <c r="Q26" s="2"/>
      <c r="R26" s="178">
        <f>R25+R23</f>
        <v>9.5000000000000001E-2</v>
      </c>
      <c r="S26" s="2"/>
      <c r="T26" s="2"/>
      <c r="U26" s="2"/>
      <c r="V26" s="2"/>
      <c r="W26" s="2"/>
      <c r="X26" s="2"/>
    </row>
    <row r="27" spans="2:24" s="1" customFormat="1">
      <c r="B27" s="2" t="s">
        <v>9</v>
      </c>
      <c r="C27" s="72">
        <f>CHOOSE(C23,G26,H26,I26)</f>
        <v>1.8000000000000002E-2</v>
      </c>
      <c r="D27" s="25" t="s">
        <v>80</v>
      </c>
      <c r="E27" s="2"/>
      <c r="F27" s="4"/>
      <c r="G27" s="4"/>
      <c r="H27" s="4"/>
      <c r="I27" s="4"/>
      <c r="J27" s="2"/>
      <c r="K27" s="13"/>
      <c r="L27" s="2"/>
      <c r="M27" s="2"/>
      <c r="N27" s="2"/>
      <c r="O27" s="2"/>
      <c r="P27" s="2" t="s">
        <v>40</v>
      </c>
      <c r="Q27" s="2"/>
      <c r="R27" s="53">
        <f>G7</f>
        <v>10285</v>
      </c>
      <c r="S27" s="160"/>
      <c r="T27" s="2"/>
      <c r="U27" s="2"/>
      <c r="V27" s="2"/>
      <c r="W27" s="2"/>
      <c r="X27" s="2"/>
    </row>
    <row r="28" spans="2:24" s="1" customFormat="1">
      <c r="B28" s="2"/>
      <c r="C28" s="4"/>
      <c r="D28" s="11" t="s">
        <v>77</v>
      </c>
      <c r="E28" s="2"/>
      <c r="F28" s="37" t="s">
        <v>103</v>
      </c>
      <c r="G28" s="95">
        <v>80.599999999999994</v>
      </c>
      <c r="H28" s="96">
        <v>90.79</v>
      </c>
      <c r="I28" s="97">
        <v>105.82</v>
      </c>
      <c r="J28" s="2"/>
      <c r="K28" s="13"/>
      <c r="L28" s="2"/>
      <c r="M28" s="2"/>
      <c r="N28" s="2"/>
      <c r="O28" s="2"/>
      <c r="P28" s="2" t="s">
        <v>41</v>
      </c>
      <c r="Q28" s="2"/>
      <c r="R28" s="74">
        <f>R27/(R20+R27)</f>
        <v>2.9350360099810631E-3</v>
      </c>
      <c r="S28" s="2"/>
      <c r="T28" s="2"/>
      <c r="U28" s="2"/>
      <c r="V28" s="2"/>
      <c r="W28" s="2"/>
      <c r="X28" s="2"/>
    </row>
    <row r="29" spans="2:24" s="1" customFormat="1">
      <c r="B29" s="24"/>
      <c r="C29" s="7"/>
      <c r="D29" s="11" t="s">
        <v>47</v>
      </c>
      <c r="E29" s="31"/>
      <c r="F29" s="14"/>
      <c r="G29" s="98">
        <f>G28/E8-1</f>
        <v>-0.43355119825708066</v>
      </c>
      <c r="H29" s="73">
        <f>H28/E8-1</f>
        <v>-0.3619368894511209</v>
      </c>
      <c r="I29" s="99">
        <f>I28/E8-1</f>
        <v>-0.25630754093752195</v>
      </c>
      <c r="J29" s="2"/>
      <c r="K29" s="13"/>
      <c r="L29" s="2"/>
      <c r="M29" s="2"/>
      <c r="N29" s="2"/>
      <c r="O29" s="2"/>
      <c r="P29" s="2" t="s">
        <v>42</v>
      </c>
      <c r="Q29" s="2"/>
      <c r="R29" s="74">
        <v>4.2500000000000003E-2</v>
      </c>
      <c r="S29" s="76" t="s">
        <v>320</v>
      </c>
      <c r="T29" s="76"/>
      <c r="U29" s="2" t="s">
        <v>100</v>
      </c>
      <c r="V29" s="2"/>
      <c r="W29" s="2"/>
      <c r="X29" s="2"/>
    </row>
    <row r="30" spans="2:24" s="1" customFormat="1">
      <c r="B30" s="2"/>
      <c r="C30" s="181"/>
      <c r="D30" s="11" t="s">
        <v>12</v>
      </c>
      <c r="E30" s="31"/>
      <c r="F30" s="14"/>
      <c r="G30" s="98">
        <f>(G28/E8)^(1/R62)-1</f>
        <v>-0.12430383665878419</v>
      </c>
      <c r="H30" s="73">
        <f>(H28/E8)^(1/R62)-1</f>
        <v>-9.9615322875865053E-2</v>
      </c>
      <c r="I30" s="99">
        <f>(I28/E8)^(1/R62)-1</f>
        <v>-6.6820115116817513E-2</v>
      </c>
      <c r="J30" s="2"/>
      <c r="K30" s="13"/>
      <c r="L30" s="2"/>
      <c r="M30" s="2"/>
      <c r="N30" s="2"/>
      <c r="O30" s="2"/>
      <c r="P30" s="2" t="s">
        <v>43</v>
      </c>
      <c r="Q30" s="2"/>
      <c r="R30" s="74">
        <f>Q79</f>
        <v>0.12629613054520375</v>
      </c>
      <c r="S30" s="2"/>
      <c r="T30" s="2"/>
      <c r="U30" s="2"/>
      <c r="V30" s="2"/>
      <c r="W30" s="2"/>
      <c r="X30" s="2"/>
    </row>
    <row r="31" spans="2:24" s="1" customFormat="1">
      <c r="B31" s="2"/>
      <c r="C31" s="181"/>
      <c r="D31" s="25" t="s">
        <v>107</v>
      </c>
      <c r="E31" s="31"/>
      <c r="F31" s="14"/>
      <c r="G31" s="79"/>
      <c r="H31" s="79"/>
      <c r="I31" s="79"/>
      <c r="J31" s="2"/>
      <c r="K31" s="13"/>
      <c r="L31" s="2"/>
      <c r="M31" s="2"/>
      <c r="N31" s="2"/>
      <c r="O31" s="2"/>
      <c r="P31" s="2"/>
      <c r="Q31" s="2"/>
      <c r="R31" s="74"/>
      <c r="S31" s="2"/>
      <c r="T31" s="2"/>
      <c r="U31" s="2"/>
      <c r="V31" s="2"/>
      <c r="W31" s="2"/>
      <c r="X31" s="2"/>
    </row>
    <row r="32" spans="2:24" s="1" customFormat="1">
      <c r="B32" s="2"/>
      <c r="C32" s="7"/>
      <c r="D32" s="11" t="s">
        <v>89</v>
      </c>
      <c r="E32" s="2"/>
      <c r="F32" s="37"/>
      <c r="G32" s="95">
        <f ca="1">R140</f>
        <v>301.07421705297685</v>
      </c>
      <c r="H32" s="96">
        <f ca="1">R141</f>
        <v>315.6909413169372</v>
      </c>
      <c r="I32" s="97">
        <f ca="1">R142</f>
        <v>421.08987774717127</v>
      </c>
      <c r="J32" s="2"/>
      <c r="K32" s="13"/>
      <c r="L32" s="2"/>
      <c r="M32" s="2"/>
      <c r="N32" s="2"/>
      <c r="O32" s="2"/>
      <c r="P32" s="2" t="s">
        <v>44</v>
      </c>
      <c r="Q32" s="2"/>
      <c r="R32" s="53">
        <f>R27+R20</f>
        <v>3504215.9499999997</v>
      </c>
      <c r="S32" s="2"/>
      <c r="T32" s="2"/>
      <c r="U32" s="2"/>
      <c r="V32" s="2"/>
      <c r="W32" s="2"/>
      <c r="X32" s="2"/>
    </row>
    <row r="33" spans="2:24" s="1" customFormat="1">
      <c r="B33" s="7"/>
      <c r="C33" s="7"/>
      <c r="D33" s="11" t="s">
        <v>326</v>
      </c>
      <c r="E33" s="31"/>
      <c r="F33" s="146"/>
      <c r="G33" s="98">
        <f ca="1">G32/E8-1</f>
        <v>1.1159197206618656</v>
      </c>
      <c r="H33" s="73">
        <f ca="1">H32/E8-1</f>
        <v>1.2186446083135656</v>
      </c>
      <c r="I33" s="99">
        <f ca="1">I32/E8-1</f>
        <v>1.9593778743915333</v>
      </c>
      <c r="J33" s="2"/>
      <c r="K33" s="1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2:24" s="1" customFormat="1">
      <c r="B34" s="2"/>
      <c r="C34" s="31"/>
      <c r="D34" s="11" t="s">
        <v>12</v>
      </c>
      <c r="E34" s="31"/>
      <c r="F34" s="14"/>
      <c r="G34" s="98">
        <f ca="1">(G32/E8)^(1/R62)-1</f>
        <v>0.19128775189118885</v>
      </c>
      <c r="H34" s="73">
        <f ca="1">(H32/E8)^(1/R62)-1</f>
        <v>0.20455019466815116</v>
      </c>
      <c r="I34" s="99">
        <f ca="1">(I32/E8)^(1/R62)-1</f>
        <v>0.28837877877996809</v>
      </c>
      <c r="J34" s="2"/>
      <c r="K34" s="14"/>
      <c r="L34" s="2"/>
      <c r="M34" s="2"/>
      <c r="N34" s="2"/>
      <c r="O34" s="2"/>
      <c r="P34" s="2" t="s">
        <v>8</v>
      </c>
      <c r="Q34" s="2"/>
      <c r="R34" s="75">
        <f>R21*R22+(R28*R29*(1-R30))</f>
        <v>0.13471275511220623</v>
      </c>
      <c r="S34" s="74"/>
      <c r="T34" s="2"/>
      <c r="U34" s="2"/>
      <c r="V34" s="2"/>
      <c r="W34" s="2"/>
      <c r="X34" s="2"/>
    </row>
    <row r="35" spans="2:24" s="1" customFormat="1">
      <c r="B35" s="2"/>
      <c r="C35" s="31"/>
      <c r="D35" s="11" t="s">
        <v>113</v>
      </c>
      <c r="E35" s="31"/>
      <c r="F35" s="14"/>
      <c r="G35" s="157">
        <f ca="1">G32*R102</f>
        <v>7467844.8797820378</v>
      </c>
      <c r="H35" s="158">
        <f ca="1">H32*R102</f>
        <v>7830398.1084253099</v>
      </c>
      <c r="I35" s="159">
        <f ca="1">I32*R102</f>
        <v>10444713.327640837</v>
      </c>
      <c r="J35" s="2"/>
      <c r="K35" s="14"/>
      <c r="L35" s="2"/>
      <c r="M35" s="2"/>
      <c r="N35" s="2"/>
      <c r="O35" s="2"/>
      <c r="P35" s="2"/>
      <c r="Q35" s="2"/>
      <c r="R35" s="74"/>
      <c r="S35" s="74"/>
      <c r="T35" s="2"/>
      <c r="U35" s="2"/>
      <c r="V35" s="2"/>
      <c r="W35" s="2"/>
      <c r="X35" s="2"/>
    </row>
    <row r="36" spans="2:24" s="1" customFormat="1">
      <c r="B36" s="2"/>
      <c r="C36" s="31"/>
      <c r="D36" s="11"/>
      <c r="E36" s="31"/>
      <c r="F36" s="14"/>
      <c r="G36" s="74"/>
      <c r="H36" s="74"/>
      <c r="I36" s="74"/>
      <c r="J36" s="2"/>
      <c r="K36" s="14"/>
      <c r="L36" s="2"/>
      <c r="M36" s="2"/>
      <c r="N36" s="2"/>
      <c r="O36" s="2"/>
      <c r="P36" s="2"/>
      <c r="Q36" s="2"/>
      <c r="R36" s="14"/>
      <c r="S36" s="54"/>
      <c r="T36" s="2"/>
      <c r="U36" s="2"/>
      <c r="V36" s="2"/>
      <c r="W36" s="2"/>
      <c r="X36" s="2"/>
    </row>
    <row r="37" spans="2:24" s="1" customFormat="1">
      <c r="B37" s="2"/>
      <c r="C37" s="31"/>
      <c r="D37" s="25" t="s">
        <v>81</v>
      </c>
      <c r="E37" s="31"/>
      <c r="F37" s="14"/>
      <c r="G37" s="95">
        <f ca="1">G32-G28</f>
        <v>220.47421705297685</v>
      </c>
      <c r="H37" s="96">
        <f ca="1">H32-H28</f>
        <v>224.90094131693718</v>
      </c>
      <c r="I37" s="97">
        <f ca="1">I32-I28</f>
        <v>315.26987774717128</v>
      </c>
      <c r="J37" s="2"/>
      <c r="K37" s="14"/>
      <c r="L37" s="2"/>
      <c r="M37" s="2"/>
      <c r="N37" s="2"/>
      <c r="O37" s="2"/>
      <c r="P37" s="2"/>
      <c r="Q37" s="2"/>
      <c r="R37" s="14"/>
      <c r="S37" s="54"/>
      <c r="T37" s="2"/>
      <c r="U37" s="2"/>
      <c r="V37" s="2"/>
      <c r="W37" s="2"/>
      <c r="X37" s="2"/>
    </row>
    <row r="38" spans="2:24" s="1" customFormat="1">
      <c r="B38" s="2"/>
      <c r="C38" s="31"/>
      <c r="D38" s="25"/>
      <c r="E38" s="31"/>
      <c r="F38" s="14"/>
      <c r="G38" s="155"/>
      <c r="H38" s="155"/>
      <c r="I38" s="155"/>
      <c r="J38" s="2"/>
      <c r="K38" s="14"/>
      <c r="L38" s="2"/>
      <c r="M38" s="2"/>
      <c r="N38" s="2"/>
      <c r="O38" s="2"/>
      <c r="P38" s="2"/>
      <c r="Q38" s="2"/>
      <c r="R38" s="14"/>
      <c r="S38" s="54"/>
      <c r="T38" s="2"/>
      <c r="U38" s="2"/>
      <c r="V38" s="2"/>
      <c r="W38" s="2"/>
      <c r="X38" s="2"/>
    </row>
    <row r="39" spans="2:24" s="1" customFormat="1">
      <c r="B39" s="179" t="s">
        <v>321</v>
      </c>
      <c r="C39" s="2"/>
      <c r="D39" s="2"/>
      <c r="E39" s="2"/>
      <c r="F39" s="2"/>
      <c r="G39" s="2"/>
      <c r="H39" s="2"/>
      <c r="I39" s="2"/>
      <c r="J39" s="101" t="s">
        <v>94</v>
      </c>
      <c r="K39" s="152">
        <f>M41/D41-1</f>
        <v>25.047305389221556</v>
      </c>
      <c r="L39" s="101" t="s">
        <v>95</v>
      </c>
      <c r="M39" s="151">
        <f>(M41/D41)^(1/9)-1</f>
        <v>0.43650445761982204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2:24" s="8" customFormat="1">
      <c r="B40" s="135" t="s">
        <v>34</v>
      </c>
      <c r="C40" s="135"/>
      <c r="D40" s="90">
        <v>2015</v>
      </c>
      <c r="E40" s="32">
        <f>D40+1</f>
        <v>2016</v>
      </c>
      <c r="F40" s="32">
        <f t="shared" ref="F40:R40" si="0">E40+1</f>
        <v>2017</v>
      </c>
      <c r="G40" s="32">
        <f t="shared" si="0"/>
        <v>2018</v>
      </c>
      <c r="H40" s="32">
        <f t="shared" si="0"/>
        <v>2019</v>
      </c>
      <c r="I40" s="32">
        <f t="shared" si="0"/>
        <v>2020</v>
      </c>
      <c r="J40" s="32">
        <f t="shared" si="0"/>
        <v>2021</v>
      </c>
      <c r="K40" s="32">
        <f t="shared" si="0"/>
        <v>2022</v>
      </c>
      <c r="L40" s="32">
        <f t="shared" si="0"/>
        <v>2023</v>
      </c>
      <c r="M40" s="90">
        <f>L40+1</f>
        <v>2024</v>
      </c>
      <c r="N40" s="33">
        <f t="shared" si="0"/>
        <v>2025</v>
      </c>
      <c r="O40" s="33">
        <f t="shared" si="0"/>
        <v>2026</v>
      </c>
      <c r="P40" s="33">
        <f t="shared" si="0"/>
        <v>2027</v>
      </c>
      <c r="Q40" s="33">
        <f t="shared" si="0"/>
        <v>2028</v>
      </c>
      <c r="R40" s="33">
        <f t="shared" si="0"/>
        <v>2029</v>
      </c>
      <c r="S40" s="100"/>
      <c r="T40" s="7"/>
      <c r="U40" s="7"/>
      <c r="V40" s="7"/>
      <c r="W40" s="7"/>
      <c r="X40" s="7"/>
    </row>
    <row r="41" spans="2:24" s="1" customFormat="1">
      <c r="B41" s="2" t="s">
        <v>5</v>
      </c>
      <c r="C41" s="2"/>
      <c r="D41" s="34">
        <f>IS!P5</f>
        <v>5010</v>
      </c>
      <c r="E41" s="34">
        <f>IS!Q5</f>
        <v>6910</v>
      </c>
      <c r="F41" s="34">
        <f>IS!R5</f>
        <v>9714</v>
      </c>
      <c r="G41" s="34">
        <f>IS!S5</f>
        <v>11716</v>
      </c>
      <c r="H41" s="34">
        <f>IS!T5</f>
        <v>10918</v>
      </c>
      <c r="I41" s="34">
        <f>IS!U5</f>
        <v>16675</v>
      </c>
      <c r="J41" s="34">
        <f>IS!V5</f>
        <v>26914</v>
      </c>
      <c r="K41" s="34">
        <f>IS!W5</f>
        <v>26974</v>
      </c>
      <c r="L41" s="34">
        <f>IS!X5</f>
        <v>60922</v>
      </c>
      <c r="M41" s="34">
        <f>IS!Y5</f>
        <v>130497</v>
      </c>
      <c r="N41" s="80">
        <v>199809</v>
      </c>
      <c r="O41" s="80">
        <v>251046</v>
      </c>
      <c r="P41" s="80">
        <v>284787</v>
      </c>
      <c r="Q41" s="82" t="s">
        <v>111</v>
      </c>
      <c r="R41" s="82"/>
      <c r="S41" s="3"/>
      <c r="T41" s="3"/>
      <c r="U41" s="2"/>
      <c r="V41" s="2"/>
      <c r="W41" s="2"/>
      <c r="X41" s="2"/>
    </row>
    <row r="42" spans="2:24" s="1" customFormat="1">
      <c r="B42" s="3" t="s">
        <v>14</v>
      </c>
      <c r="C42" s="3"/>
      <c r="D42" s="35"/>
      <c r="E42" s="70">
        <f>E41/D41-1</f>
        <v>0.37924151696606789</v>
      </c>
      <c r="F42" s="70">
        <f t="shared" ref="F42:P42" si="1">F41/E41-1</f>
        <v>0.40578871201157751</v>
      </c>
      <c r="G42" s="70">
        <f t="shared" si="1"/>
        <v>0.20609429689108505</v>
      </c>
      <c r="H42" s="70">
        <f t="shared" si="1"/>
        <v>-6.8111983612154314E-2</v>
      </c>
      <c r="I42" s="70">
        <f t="shared" si="1"/>
        <v>0.52729437625938824</v>
      </c>
      <c r="J42" s="70">
        <f t="shared" si="1"/>
        <v>0.61403298350824587</v>
      </c>
      <c r="K42" s="70">
        <f t="shared" si="1"/>
        <v>2.2293230289069932E-3</v>
      </c>
      <c r="L42" s="70">
        <f t="shared" si="1"/>
        <v>1.2585452658115224</v>
      </c>
      <c r="M42" s="70">
        <f t="shared" si="1"/>
        <v>1.1420340763599355</v>
      </c>
      <c r="N42" s="70">
        <f t="shared" si="1"/>
        <v>0.5311386468654451</v>
      </c>
      <c r="O42" s="70">
        <f t="shared" si="1"/>
        <v>0.25642989054547094</v>
      </c>
      <c r="P42" s="70">
        <f t="shared" si="1"/>
        <v>0.13440166344016635</v>
      </c>
      <c r="Q42" s="77" t="s">
        <v>322</v>
      </c>
      <c r="R42" s="2"/>
      <c r="S42" s="2"/>
      <c r="T42" s="2"/>
      <c r="U42" s="2"/>
      <c r="V42" s="3"/>
      <c r="W42" s="2"/>
      <c r="X42" s="2"/>
    </row>
    <row r="43" spans="2:24" s="1" customFormat="1">
      <c r="B43" s="2"/>
      <c r="C43" s="2"/>
      <c r="D43" s="90">
        <f>D40</f>
        <v>2015</v>
      </c>
      <c r="E43" s="2"/>
      <c r="F43" s="2"/>
      <c r="G43" s="2"/>
      <c r="H43" s="2"/>
      <c r="I43" s="2"/>
      <c r="J43" s="101" t="s">
        <v>94</v>
      </c>
      <c r="K43" s="152">
        <f>M44/D44-1</f>
        <v>91.771070615034162</v>
      </c>
      <c r="L43" s="101" t="s">
        <v>95</v>
      </c>
      <c r="M43" s="151">
        <f>(M44/D44)^(1/9)-1</f>
        <v>0.65425096441682173</v>
      </c>
      <c r="N43" s="2"/>
      <c r="O43" s="2"/>
      <c r="P43" s="37"/>
      <c r="Q43" s="2"/>
      <c r="R43" s="2"/>
      <c r="S43" s="2"/>
      <c r="T43" s="2"/>
      <c r="U43" s="2"/>
      <c r="V43" s="5"/>
      <c r="W43" s="2"/>
      <c r="X43" s="2"/>
    </row>
    <row r="44" spans="2:24" s="1" customFormat="1">
      <c r="B44" s="2" t="s">
        <v>67</v>
      </c>
      <c r="C44" s="2"/>
      <c r="D44" s="15">
        <f>IS!P14</f>
        <v>878</v>
      </c>
      <c r="E44" s="15">
        <f>IS!Q14</f>
        <v>1937</v>
      </c>
      <c r="F44" s="15">
        <f>IS!R14</f>
        <v>3210</v>
      </c>
      <c r="G44" s="15">
        <f>IS!S14</f>
        <v>3804</v>
      </c>
      <c r="H44" s="15">
        <f>IS!T14</f>
        <v>2846</v>
      </c>
      <c r="I44" s="15">
        <f>IS!U14</f>
        <v>4532</v>
      </c>
      <c r="J44" s="15">
        <f>IS!V14</f>
        <v>10041</v>
      </c>
      <c r="K44" s="15">
        <f>IS!W14</f>
        <v>5577</v>
      </c>
      <c r="L44" s="15">
        <f>IS!X14</f>
        <v>32972</v>
      </c>
      <c r="M44" s="15">
        <f>IS!Y14</f>
        <v>81453</v>
      </c>
      <c r="N44" s="81">
        <v>123400</v>
      </c>
      <c r="O44" s="81">
        <v>165097</v>
      </c>
      <c r="P44" s="80">
        <v>186704</v>
      </c>
      <c r="Q44" s="82" t="s">
        <v>111</v>
      </c>
      <c r="R44" s="82"/>
      <c r="S44" s="3"/>
      <c r="T44" s="3"/>
      <c r="U44" s="2"/>
      <c r="V44" s="2"/>
      <c r="W44" s="2"/>
      <c r="X44" s="2"/>
    </row>
    <row r="45" spans="2:24" s="1" customFormat="1">
      <c r="B45" s="2" t="s">
        <v>36</v>
      </c>
      <c r="C45" s="3"/>
      <c r="D45" s="70">
        <f>D44/D41</f>
        <v>0.17524950099800399</v>
      </c>
      <c r="E45" s="70">
        <f t="shared" ref="E45:O45" si="2">E44/E41</f>
        <v>0.28031837916063673</v>
      </c>
      <c r="F45" s="70">
        <f t="shared" si="2"/>
        <v>0.33045089561457691</v>
      </c>
      <c r="G45" s="70">
        <f t="shared" si="2"/>
        <v>0.32468419255718678</v>
      </c>
      <c r="H45" s="70">
        <f t="shared" si="2"/>
        <v>0.2606704524638212</v>
      </c>
      <c r="I45" s="70">
        <f>I44/I41</f>
        <v>0.27178410794602698</v>
      </c>
      <c r="J45" s="70">
        <f t="shared" si="2"/>
        <v>0.37307720888756779</v>
      </c>
      <c r="K45" s="70">
        <f t="shared" si="2"/>
        <v>0.20675465262845702</v>
      </c>
      <c r="L45" s="70">
        <f t="shared" si="2"/>
        <v>0.54121663766783756</v>
      </c>
      <c r="M45" s="70">
        <f t="shared" si="2"/>
        <v>0.62417526839697468</v>
      </c>
      <c r="N45" s="70">
        <f t="shared" si="2"/>
        <v>0.61758979825733573</v>
      </c>
      <c r="O45" s="70">
        <f t="shared" si="2"/>
        <v>0.65763644909697827</v>
      </c>
      <c r="P45" s="70">
        <f>P44/P41</f>
        <v>0.65559172293679135</v>
      </c>
      <c r="Q45" s="77" t="s">
        <v>322</v>
      </c>
      <c r="R45" s="2"/>
      <c r="S45" s="2"/>
      <c r="T45" s="2"/>
      <c r="U45" s="2"/>
      <c r="V45" s="2"/>
      <c r="W45" s="2"/>
      <c r="X45" s="2"/>
    </row>
    <row r="46" spans="2:24" s="1" customForma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2:24" s="1" customFormat="1">
      <c r="B47" s="2" t="s">
        <v>15</v>
      </c>
      <c r="C47" s="2"/>
      <c r="D47" s="15">
        <f>-IS!P20</f>
        <v>129</v>
      </c>
      <c r="E47" s="15">
        <f>-IS!Q20</f>
        <v>239</v>
      </c>
      <c r="F47" s="15">
        <f>-IS!R20</f>
        <v>149</v>
      </c>
      <c r="G47" s="15"/>
      <c r="H47" s="15">
        <f>-IS!T20</f>
        <v>174</v>
      </c>
      <c r="I47" s="15">
        <f>-IS!U20</f>
        <v>77</v>
      </c>
      <c r="J47" s="15">
        <f>-IS!V20</f>
        <v>189</v>
      </c>
      <c r="K47" s="15"/>
      <c r="L47" s="15">
        <f>-IS!X20</f>
        <v>4058</v>
      </c>
      <c r="M47" s="15">
        <f>-IS!Y20</f>
        <v>11146</v>
      </c>
      <c r="N47" s="81">
        <f>119216-101110</f>
        <v>18106</v>
      </c>
      <c r="O47" s="81">
        <f>149414-132116</f>
        <v>17298</v>
      </c>
      <c r="P47" s="80">
        <f>171740-154548</f>
        <v>17192</v>
      </c>
      <c r="Q47" s="82" t="s">
        <v>323</v>
      </c>
      <c r="R47" s="82"/>
      <c r="S47" s="3"/>
      <c r="T47" s="2"/>
      <c r="U47" s="2"/>
      <c r="V47" s="2"/>
      <c r="W47" s="2"/>
      <c r="X47" s="2"/>
    </row>
    <row r="48" spans="2:24" s="1" customFormat="1">
      <c r="B48" s="3" t="s">
        <v>59</v>
      </c>
      <c r="C48" s="3"/>
      <c r="D48" s="70">
        <f>D47/IS!P18</f>
        <v>0.17362045760430686</v>
      </c>
      <c r="E48" s="70">
        <f>E47/IS!Q18</f>
        <v>0.12545931758530185</v>
      </c>
      <c r="F48" s="70">
        <f>F47/IS!R18</f>
        <v>4.6620775969962454E-2</v>
      </c>
      <c r="G48" s="70"/>
      <c r="H48" s="70">
        <f>H47/IS!T18</f>
        <v>5.8585858585858588E-2</v>
      </c>
      <c r="I48" s="70">
        <f>I47/IS!U18</f>
        <v>1.7464277613971423E-2</v>
      </c>
      <c r="J48" s="70">
        <f>J47/IS!V18</f>
        <v>1.9012171813700834E-2</v>
      </c>
      <c r="K48" s="70"/>
      <c r="L48" s="70">
        <f>L47/IS!X18</f>
        <v>0.1199952687917677</v>
      </c>
      <c r="M48" s="70">
        <f>M47/IS!Y18</f>
        <v>0.13264941803727417</v>
      </c>
      <c r="N48" s="70">
        <f>N47/119216</f>
        <v>0.15187558716950744</v>
      </c>
      <c r="O48" s="70">
        <f>O47/149414</f>
        <v>0.1157722837217396</v>
      </c>
      <c r="P48" s="70">
        <f>P47/154548</f>
        <v>0.1112405207443642</v>
      </c>
      <c r="Q48" s="77" t="s">
        <v>120</v>
      </c>
      <c r="R48" s="2"/>
      <c r="S48" s="2"/>
      <c r="T48" s="2"/>
      <c r="U48" s="2"/>
      <c r="V48" s="2"/>
      <c r="W48" s="2"/>
      <c r="X48" s="2"/>
    </row>
    <row r="49" spans="2:24" s="1" customForma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2:24" s="1" customFormat="1">
      <c r="B50" s="135" t="s">
        <v>16</v>
      </c>
      <c r="C50" s="135"/>
      <c r="D50" s="32">
        <f>D40</f>
        <v>2015</v>
      </c>
      <c r="E50" s="32">
        <f t="shared" ref="E50:L50" si="3">E40</f>
        <v>2016</v>
      </c>
      <c r="F50" s="32">
        <f t="shared" si="3"/>
        <v>2017</v>
      </c>
      <c r="G50" s="32">
        <f t="shared" si="3"/>
        <v>2018</v>
      </c>
      <c r="H50" s="32">
        <f t="shared" si="3"/>
        <v>2019</v>
      </c>
      <c r="I50" s="32">
        <f t="shared" si="3"/>
        <v>2020</v>
      </c>
      <c r="J50" s="32">
        <f t="shared" si="3"/>
        <v>2021</v>
      </c>
      <c r="K50" s="32">
        <f t="shared" si="3"/>
        <v>2022</v>
      </c>
      <c r="L50" s="32">
        <f t="shared" si="3"/>
        <v>2023</v>
      </c>
      <c r="M50" s="32">
        <f t="shared" ref="M50:R50" si="4">L50+1</f>
        <v>2024</v>
      </c>
      <c r="N50" s="33">
        <f t="shared" si="4"/>
        <v>2025</v>
      </c>
      <c r="O50" s="33">
        <f t="shared" si="4"/>
        <v>2026</v>
      </c>
      <c r="P50" s="33">
        <f t="shared" si="4"/>
        <v>2027</v>
      </c>
      <c r="Q50" s="33">
        <f t="shared" si="4"/>
        <v>2028</v>
      </c>
      <c r="R50" s="33">
        <f t="shared" si="4"/>
        <v>2029</v>
      </c>
      <c r="S50" s="38"/>
      <c r="T50" s="2"/>
      <c r="U50" s="2"/>
      <c r="V50" s="2"/>
      <c r="W50" s="2"/>
      <c r="X50" s="2"/>
    </row>
    <row r="51" spans="2:24" s="1" customFormat="1">
      <c r="B51" s="2" t="s">
        <v>17</v>
      </c>
      <c r="C51" s="2"/>
      <c r="D51" s="15">
        <f>'CFS '!P5</f>
        <v>614</v>
      </c>
      <c r="E51" s="15">
        <f>'CFS '!Q5</f>
        <v>1666</v>
      </c>
      <c r="F51" s="15">
        <f>'CFS '!R5</f>
        <v>3047</v>
      </c>
      <c r="G51" s="15">
        <f>'CFS '!S5</f>
        <v>4141</v>
      </c>
      <c r="H51" s="15">
        <f>'CFS '!T5</f>
        <v>2796</v>
      </c>
      <c r="I51" s="15">
        <f>'CFS '!U5</f>
        <v>4332</v>
      </c>
      <c r="J51" s="15">
        <f>'CFS '!V5</f>
        <v>9752</v>
      </c>
      <c r="K51" s="15">
        <f>'CFS '!W5</f>
        <v>4368</v>
      </c>
      <c r="L51" s="15">
        <f>'CFS '!X5</f>
        <v>29760</v>
      </c>
      <c r="M51" s="15">
        <f>'CFS '!Y5</f>
        <v>72880</v>
      </c>
      <c r="N51" s="16"/>
      <c r="O51" s="15"/>
      <c r="P51" s="15"/>
      <c r="Q51" s="15"/>
      <c r="R51" s="15"/>
      <c r="S51" s="15"/>
      <c r="T51" s="2"/>
      <c r="U51" s="2"/>
      <c r="V51" s="2"/>
      <c r="W51" s="2"/>
      <c r="X51" s="2"/>
    </row>
    <row r="52" spans="2:24" s="1" customFormat="1">
      <c r="B52" s="2" t="s">
        <v>36</v>
      </c>
      <c r="C52" s="2"/>
      <c r="D52" s="70">
        <f>D51/D41</f>
        <v>0.12255489021956088</v>
      </c>
      <c r="E52" s="70">
        <f t="shared" ref="E52:M52" si="5">E51/E41</f>
        <v>0.24109985528219971</v>
      </c>
      <c r="F52" s="70">
        <f t="shared" si="5"/>
        <v>0.3136709903232448</v>
      </c>
      <c r="G52" s="70">
        <f t="shared" si="5"/>
        <v>0.35344827586206895</v>
      </c>
      <c r="H52" s="70">
        <f t="shared" si="5"/>
        <v>0.25609085913170909</v>
      </c>
      <c r="I52" s="70">
        <f t="shared" si="5"/>
        <v>0.25979010494752625</v>
      </c>
      <c r="J52" s="70">
        <f t="shared" si="5"/>
        <v>0.36233930296499961</v>
      </c>
      <c r="K52" s="70">
        <f t="shared" si="5"/>
        <v>0.16193371394676356</v>
      </c>
      <c r="L52" s="70">
        <f t="shared" si="5"/>
        <v>0.4884934834706674</v>
      </c>
      <c r="M52" s="70">
        <f t="shared" si="5"/>
        <v>0.55848027157712443</v>
      </c>
      <c r="N52" s="7"/>
      <c r="O52" s="7"/>
      <c r="P52" s="7"/>
      <c r="Q52" s="7"/>
      <c r="R52" s="7"/>
      <c r="S52" s="7"/>
      <c r="T52" s="2"/>
      <c r="U52" s="2"/>
      <c r="V52" s="2"/>
      <c r="W52" s="2"/>
      <c r="X52" s="2"/>
    </row>
    <row r="53" spans="2:24" s="1" customFormat="1">
      <c r="B53" s="2"/>
      <c r="C53" s="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2"/>
      <c r="U53" s="2"/>
      <c r="V53" s="2"/>
      <c r="W53" s="2"/>
      <c r="X53" s="2"/>
    </row>
    <row r="54" spans="2:24" s="1" customFormat="1">
      <c r="B54" s="2" t="s">
        <v>18</v>
      </c>
      <c r="C54" s="2"/>
      <c r="D54" s="15">
        <f>-'CFS '!P34</f>
        <v>79</v>
      </c>
      <c r="E54" s="15">
        <f>-'CFS '!Q34</f>
        <v>169</v>
      </c>
      <c r="F54" s="15">
        <f>-'CFS '!R34</f>
        <v>591</v>
      </c>
      <c r="G54" s="15">
        <f>-'CFS '!S34</f>
        <v>600</v>
      </c>
      <c r="H54" s="15">
        <f>-'CFS '!T34</f>
        <v>489</v>
      </c>
      <c r="I54" s="15">
        <f>-'CFS '!U34</f>
        <v>1128</v>
      </c>
      <c r="J54" s="15">
        <f>-'CFS '!V34</f>
        <v>976</v>
      </c>
      <c r="K54" s="15">
        <f>-'CFS '!W34</f>
        <v>1833</v>
      </c>
      <c r="L54" s="15">
        <f>-'CFS '!X34</f>
        <v>1069</v>
      </c>
      <c r="M54" s="15">
        <f>-'CFS '!Y34</f>
        <v>3236</v>
      </c>
      <c r="N54" s="15"/>
      <c r="O54" s="7"/>
      <c r="P54" s="7"/>
      <c r="Q54" s="7"/>
      <c r="R54" s="7"/>
      <c r="S54" s="7"/>
      <c r="T54" s="2"/>
      <c r="U54" s="2"/>
      <c r="V54" s="2"/>
      <c r="W54" s="2"/>
      <c r="X54" s="2"/>
    </row>
    <row r="55" spans="2:24" s="1" customFormat="1">
      <c r="B55" s="2" t="s">
        <v>36</v>
      </c>
      <c r="C55" s="3"/>
      <c r="D55" s="70">
        <f>D54/D41</f>
        <v>1.5768463073852296E-2</v>
      </c>
      <c r="E55" s="70">
        <f t="shared" ref="E55:M55" si="6">E54/E41</f>
        <v>2.4457308248914615E-2</v>
      </c>
      <c r="F55" s="70">
        <f t="shared" si="6"/>
        <v>6.0840024706609021E-2</v>
      </c>
      <c r="G55" s="70">
        <f t="shared" si="6"/>
        <v>5.1212017753499491E-2</v>
      </c>
      <c r="H55" s="70">
        <f t="shared" si="6"/>
        <v>4.478842278805642E-2</v>
      </c>
      <c r="I55" s="70">
        <f t="shared" si="6"/>
        <v>6.7646176911544231E-2</v>
      </c>
      <c r="J55" s="70">
        <f t="shared" si="6"/>
        <v>3.6263654603552055E-2</v>
      </c>
      <c r="K55" s="70">
        <f t="shared" si="6"/>
        <v>6.7954326388373995E-2</v>
      </c>
      <c r="L55" s="70">
        <f t="shared" si="6"/>
        <v>1.7547027346442992E-2</v>
      </c>
      <c r="M55" s="70">
        <f t="shared" si="6"/>
        <v>2.4797504923484832E-2</v>
      </c>
      <c r="N55" s="7"/>
      <c r="O55" s="7"/>
      <c r="P55" s="7"/>
      <c r="Q55" s="7"/>
      <c r="R55" s="7"/>
      <c r="S55" s="7"/>
      <c r="T55" s="2"/>
      <c r="U55" s="2"/>
      <c r="V55" s="2"/>
      <c r="W55" s="2"/>
      <c r="X55" s="2"/>
    </row>
    <row r="56" spans="2:24" s="1" customFormat="1">
      <c r="B56" s="2"/>
      <c r="C56" s="2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2"/>
      <c r="U56" s="2"/>
      <c r="V56" s="2"/>
      <c r="W56" s="2"/>
      <c r="X56" s="2"/>
    </row>
    <row r="57" spans="2:24" s="1" customFormat="1">
      <c r="B57" s="2" t="s">
        <v>19</v>
      </c>
      <c r="C57" s="2"/>
      <c r="D57" s="15">
        <f>-'CFS '!P12</f>
        <v>51</v>
      </c>
      <c r="E57" s="15">
        <f>-'CFS '!Q12</f>
        <v>679</v>
      </c>
      <c r="F57" s="15">
        <f>-'CFS '!R12</f>
        <v>-185</v>
      </c>
      <c r="G57" s="15">
        <f>-'CFS '!S12</f>
        <v>857</v>
      </c>
      <c r="H57" s="15">
        <f>-'CFS '!T12</f>
        <v>-717</v>
      </c>
      <c r="I57" s="15">
        <f>-'CFS '!U12</f>
        <v>703</v>
      </c>
      <c r="J57" s="15">
        <f>-'CFS '!V12</f>
        <v>3363</v>
      </c>
      <c r="K57" s="15">
        <f>-'CFS '!W12</f>
        <v>2207</v>
      </c>
      <c r="L57" s="15">
        <f>-'CFS '!X12</f>
        <v>3722</v>
      </c>
      <c r="M57" s="15">
        <f>-'CFS '!Y12</f>
        <v>9383</v>
      </c>
      <c r="N57" s="16"/>
      <c r="O57" s="7"/>
      <c r="P57" s="7"/>
      <c r="Q57" s="7"/>
      <c r="R57" s="7"/>
      <c r="S57" s="7"/>
      <c r="T57" s="2"/>
      <c r="U57" s="2"/>
      <c r="V57" s="2"/>
      <c r="W57" s="2"/>
      <c r="X57" s="2"/>
    </row>
    <row r="58" spans="2:24" s="1" customFormat="1">
      <c r="B58" s="2" t="s">
        <v>36</v>
      </c>
      <c r="C58" s="3"/>
      <c r="D58" s="70">
        <f>D57/D41</f>
        <v>1.0179640718562874E-2</v>
      </c>
      <c r="E58" s="70">
        <f t="shared" ref="E58:M58" si="7">E57/E41</f>
        <v>9.8263386396526778E-2</v>
      </c>
      <c r="F58" s="70">
        <f t="shared" si="7"/>
        <v>-1.9044677784640723E-2</v>
      </c>
      <c r="G58" s="70">
        <f t="shared" si="7"/>
        <v>7.3147832024581763E-2</v>
      </c>
      <c r="H58" s="70">
        <f t="shared" si="7"/>
        <v>-6.5671368382487633E-2</v>
      </c>
      <c r="I58" s="70">
        <f t="shared" si="7"/>
        <v>4.2158920539730138E-2</v>
      </c>
      <c r="J58" s="70">
        <f t="shared" si="7"/>
        <v>0.12495355577023111</v>
      </c>
      <c r="K58" s="70">
        <f t="shared" si="7"/>
        <v>8.181952991769853E-2</v>
      </c>
      <c r="L58" s="70">
        <f>L57/L41</f>
        <v>6.1094514296969896E-2</v>
      </c>
      <c r="M58" s="70">
        <f t="shared" si="7"/>
        <v>7.1902036062131691E-2</v>
      </c>
      <c r="N58" s="7"/>
      <c r="O58" s="7"/>
      <c r="P58" s="7"/>
      <c r="Q58" s="7"/>
      <c r="R58" s="7"/>
      <c r="S58" s="7"/>
      <c r="T58" s="2"/>
      <c r="U58" s="2"/>
      <c r="V58" s="2"/>
      <c r="W58" s="2"/>
      <c r="X58" s="2"/>
    </row>
    <row r="59" spans="2:24" s="1" customFormat="1">
      <c r="B59" s="2"/>
      <c r="C59" s="3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7"/>
      <c r="O59" s="7"/>
      <c r="P59" s="7"/>
      <c r="Q59" s="7"/>
      <c r="R59" s="7"/>
      <c r="S59" s="7"/>
      <c r="T59" s="2"/>
      <c r="U59" s="2"/>
      <c r="V59" s="2"/>
      <c r="W59" s="2"/>
      <c r="X59" s="2"/>
    </row>
    <row r="60" spans="2:24" s="1" customFormat="1">
      <c r="B60" s="135" t="s">
        <v>35</v>
      </c>
      <c r="C60" s="135"/>
      <c r="D60" s="32">
        <f>D50</f>
        <v>2015</v>
      </c>
      <c r="E60" s="32">
        <f t="shared" ref="E60:L60" si="8">E50</f>
        <v>2016</v>
      </c>
      <c r="F60" s="32">
        <f t="shared" si="8"/>
        <v>2017</v>
      </c>
      <c r="G60" s="32">
        <f t="shared" si="8"/>
        <v>2018</v>
      </c>
      <c r="H60" s="32">
        <f t="shared" si="8"/>
        <v>2019</v>
      </c>
      <c r="I60" s="32">
        <f t="shared" si="8"/>
        <v>2020</v>
      </c>
      <c r="J60" s="32">
        <f t="shared" si="8"/>
        <v>2021</v>
      </c>
      <c r="K60" s="32">
        <f t="shared" si="8"/>
        <v>2022</v>
      </c>
      <c r="L60" s="32">
        <f t="shared" si="8"/>
        <v>2023</v>
      </c>
      <c r="M60" s="32">
        <f t="shared" ref="M60:R60" si="9">L60+1</f>
        <v>2024</v>
      </c>
      <c r="N60" s="33">
        <f t="shared" si="9"/>
        <v>2025</v>
      </c>
      <c r="O60" s="33">
        <f t="shared" si="9"/>
        <v>2026</v>
      </c>
      <c r="P60" s="33">
        <f t="shared" si="9"/>
        <v>2027</v>
      </c>
      <c r="Q60" s="33">
        <f t="shared" si="9"/>
        <v>2028</v>
      </c>
      <c r="R60" s="33">
        <f t="shared" si="9"/>
        <v>2029</v>
      </c>
      <c r="S60" s="7"/>
      <c r="T60" s="2"/>
      <c r="U60" s="2"/>
      <c r="V60" s="2"/>
      <c r="W60" s="2"/>
      <c r="X60" s="2"/>
    </row>
    <row r="61" spans="2:24" s="1" customFormat="1">
      <c r="B61" s="2" t="s">
        <v>26</v>
      </c>
      <c r="C61" s="3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56">
        <f>YEARFRAC(E6,E7)</f>
        <v>0.56388888888888888</v>
      </c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2:24" s="1" customFormat="1">
      <c r="B62" s="2" t="s">
        <v>27</v>
      </c>
      <c r="C62" s="3"/>
      <c r="D62" s="36"/>
      <c r="E62" s="36"/>
      <c r="F62" s="7"/>
      <c r="G62" s="36"/>
      <c r="H62" s="36"/>
      <c r="I62" s="36"/>
      <c r="J62" s="36"/>
      <c r="K62" s="36"/>
      <c r="L62" s="36"/>
      <c r="M62" s="36"/>
      <c r="N62" s="56">
        <f>N61/2</f>
        <v>0.28194444444444444</v>
      </c>
      <c r="O62" s="56">
        <f>N62+1</f>
        <v>1.2819444444444446</v>
      </c>
      <c r="P62" s="56">
        <f>O62+1</f>
        <v>2.2819444444444446</v>
      </c>
      <c r="Q62" s="56">
        <f>P62+1</f>
        <v>3.2819444444444446</v>
      </c>
      <c r="R62" s="56">
        <f>Q62+1</f>
        <v>4.281944444444445</v>
      </c>
      <c r="S62" s="7"/>
      <c r="T62" s="2"/>
      <c r="U62" s="2"/>
      <c r="V62" s="2"/>
      <c r="W62" s="2"/>
      <c r="X62" s="2"/>
    </row>
    <row r="63" spans="2:24" s="1" customFormat="1">
      <c r="B63" s="2"/>
      <c r="C63" s="3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7"/>
      <c r="O63" s="101" t="s">
        <v>96</v>
      </c>
      <c r="P63" s="151">
        <f ca="1">R65/N65-1</f>
        <v>0.77163651064473338</v>
      </c>
      <c r="Q63" s="101" t="s">
        <v>97</v>
      </c>
      <c r="R63" s="151">
        <f ca="1">R65/D65-1</f>
        <v>69.656470969144422</v>
      </c>
      <c r="S63" s="7"/>
      <c r="T63" s="2"/>
      <c r="U63" s="2"/>
      <c r="V63" s="2"/>
      <c r="W63" s="2"/>
      <c r="X63" s="2"/>
    </row>
    <row r="64" spans="2:24" s="1" customFormat="1">
      <c r="B64" s="2"/>
      <c r="C64" s="2"/>
      <c r="D64" s="101"/>
      <c r="E64" s="92"/>
      <c r="F64" s="101"/>
      <c r="G64" s="150"/>
      <c r="H64" s="101"/>
      <c r="I64" s="101"/>
      <c r="J64" s="101"/>
      <c r="K64" s="150"/>
      <c r="L64" s="101"/>
      <c r="M64" s="150"/>
      <c r="N64" s="153" t="str">
        <f>IF(C20=1,"Conservative",IF(C20=2,"Base",IF(C20=3,"Optimistic","")))</f>
        <v>Conservative</v>
      </c>
      <c r="O64" s="101" t="s">
        <v>93</v>
      </c>
      <c r="P64" s="151">
        <f ca="1">(R65/N65)^(1/4)-1</f>
        <v>0.15370202644801023</v>
      </c>
      <c r="Q64" s="101" t="s">
        <v>92</v>
      </c>
      <c r="R64" s="151">
        <f ca="1">(R65/D65)^(1/14)-1</f>
        <v>0.3554461913453586</v>
      </c>
      <c r="S64" s="2"/>
      <c r="T64" s="2"/>
      <c r="U64" s="2"/>
      <c r="V64" s="2"/>
      <c r="W64" s="2"/>
      <c r="X64" s="2"/>
    </row>
    <row r="65" spans="2:24" s="1" customFormat="1">
      <c r="B65" s="2" t="s">
        <v>5</v>
      </c>
      <c r="C65" s="2"/>
      <c r="D65" s="15">
        <f t="shared" ref="D65:M65" si="10">D41</f>
        <v>5010</v>
      </c>
      <c r="E65" s="15">
        <f t="shared" si="10"/>
        <v>6910</v>
      </c>
      <c r="F65" s="15">
        <f t="shared" si="10"/>
        <v>9714</v>
      </c>
      <c r="G65" s="15">
        <f t="shared" si="10"/>
        <v>11716</v>
      </c>
      <c r="H65" s="15">
        <f t="shared" si="10"/>
        <v>10918</v>
      </c>
      <c r="I65" s="15">
        <f t="shared" si="10"/>
        <v>16675</v>
      </c>
      <c r="J65" s="15">
        <f t="shared" si="10"/>
        <v>26914</v>
      </c>
      <c r="K65" s="15">
        <f t="shared" si="10"/>
        <v>26974</v>
      </c>
      <c r="L65" s="15">
        <f t="shared" si="10"/>
        <v>60922</v>
      </c>
      <c r="M65" s="15">
        <f t="shared" si="10"/>
        <v>130497</v>
      </c>
      <c r="N65" s="34">
        <f ca="1">M65*(1+N66)</f>
        <v>199809</v>
      </c>
      <c r="O65" s="34">
        <f ca="1">N65*(1+O66)</f>
        <v>251046</v>
      </c>
      <c r="P65" s="34">
        <f ca="1">O65*(1+P66)</f>
        <v>284787</v>
      </c>
      <c r="Q65" s="34">
        <f ca="1">P65*(1+Q66)</f>
        <v>319235.2618735212</v>
      </c>
      <c r="R65" s="34">
        <f ca="1">Q65*(1+R66)</f>
        <v>353988.91955541354</v>
      </c>
      <c r="S65" s="94"/>
      <c r="T65" s="2"/>
      <c r="U65" s="2"/>
      <c r="V65" s="2"/>
      <c r="W65" s="2"/>
      <c r="X65" s="2"/>
    </row>
    <row r="66" spans="2:24" s="1" customFormat="1">
      <c r="B66" s="3" t="s">
        <v>14</v>
      </c>
      <c r="C66" s="3"/>
      <c r="D66" s="71">
        <f t="shared" ref="D66:M66" si="11">D42</f>
        <v>0</v>
      </c>
      <c r="E66" s="71">
        <f t="shared" si="11"/>
        <v>0.37924151696606789</v>
      </c>
      <c r="F66" s="71">
        <f t="shared" si="11"/>
        <v>0.40578871201157751</v>
      </c>
      <c r="G66" s="71">
        <f t="shared" si="11"/>
        <v>0.20609429689108505</v>
      </c>
      <c r="H66" s="71">
        <f t="shared" si="11"/>
        <v>-6.8111983612154314E-2</v>
      </c>
      <c r="I66" s="71">
        <f t="shared" si="11"/>
        <v>0.52729437625938824</v>
      </c>
      <c r="J66" s="71">
        <f t="shared" si="11"/>
        <v>0.61403298350824587</v>
      </c>
      <c r="K66" s="71">
        <f t="shared" si="11"/>
        <v>2.2293230289069932E-3</v>
      </c>
      <c r="L66" s="71">
        <f t="shared" si="11"/>
        <v>1.2585452658115224</v>
      </c>
      <c r="M66" s="71">
        <f t="shared" si="11"/>
        <v>1.1420340763599355</v>
      </c>
      <c r="N66" s="68">
        <f ca="1">OFFSET(N66,$C$20,0)</f>
        <v>0.5311386468654451</v>
      </c>
      <c r="O66" s="68">
        <f ca="1">OFFSET(O66,$C$20,0)</f>
        <v>0.25642989054547094</v>
      </c>
      <c r="P66" s="68">
        <f ca="1">OFFSET(P66,$C$20,0)</f>
        <v>0.13440166344016635</v>
      </c>
      <c r="Q66" s="68">
        <f ca="1">OFFSET(Q66,$C$20,0)</f>
        <v>0.12096149709614971</v>
      </c>
      <c r="R66" s="68">
        <f ca="1">OFFSET(R66,$C$20,0)</f>
        <v>0.10886534738653475</v>
      </c>
      <c r="S66" s="36"/>
      <c r="T66" s="2"/>
      <c r="U66" s="2"/>
      <c r="V66" s="2"/>
      <c r="W66" s="2"/>
      <c r="X66" s="2"/>
    </row>
    <row r="67" spans="2:24" s="1" customFormat="1">
      <c r="B67" s="44" t="s">
        <v>20</v>
      </c>
      <c r="C67" s="27" t="s">
        <v>55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64">
        <f>N42</f>
        <v>0.5311386468654451</v>
      </c>
      <c r="O67" s="64">
        <f>O42</f>
        <v>0.25642989054547094</v>
      </c>
      <c r="P67" s="162">
        <f>P42</f>
        <v>0.13440166344016635</v>
      </c>
      <c r="Q67" s="65">
        <f>P67*(1+G21)</f>
        <v>0.12096149709614971</v>
      </c>
      <c r="R67" s="65">
        <f>Q67*(1+G21)</f>
        <v>0.10886534738653475</v>
      </c>
      <c r="S67" s="94"/>
      <c r="T67" s="40"/>
      <c r="U67" s="2"/>
      <c r="V67" s="2"/>
      <c r="W67" s="2"/>
      <c r="X67" s="2"/>
    </row>
    <row r="68" spans="2:24" s="1" customFormat="1">
      <c r="B68" s="45" t="s">
        <v>13</v>
      </c>
      <c r="C68" s="27" t="s">
        <v>56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64">
        <f>N42</f>
        <v>0.5311386468654451</v>
      </c>
      <c r="O68" s="64">
        <f>O42</f>
        <v>0.25642989054547094</v>
      </c>
      <c r="P68" s="64">
        <f>P67</f>
        <v>0.13440166344016635</v>
      </c>
      <c r="Q68" s="64">
        <f>P68*(1+$H21)</f>
        <v>0.12768158026815804</v>
      </c>
      <c r="R68" s="64">
        <f>Q68*(1+$H21)</f>
        <v>0.12129750125475013</v>
      </c>
      <c r="S68" s="40"/>
      <c r="T68" s="2"/>
      <c r="U68" s="2"/>
      <c r="V68" s="2"/>
      <c r="W68" s="2"/>
      <c r="X68" s="2"/>
    </row>
    <row r="69" spans="2:24" s="1" customFormat="1">
      <c r="B69" s="46" t="s">
        <v>21</v>
      </c>
      <c r="C69" s="27" t="s">
        <v>57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64">
        <f>N42</f>
        <v>0.5311386468654451</v>
      </c>
      <c r="O69" s="64">
        <f>O42</f>
        <v>0.25642989054547094</v>
      </c>
      <c r="P69" s="64">
        <f>P68</f>
        <v>0.13440166344016635</v>
      </c>
      <c r="Q69" s="66">
        <f>P69*(1+$I21)</f>
        <v>0.147841829784183</v>
      </c>
      <c r="R69" s="66">
        <f>Q69*(1+$I21)</f>
        <v>0.16262601276260133</v>
      </c>
      <c r="S69" s="93"/>
      <c r="T69" s="2"/>
      <c r="U69" s="2"/>
      <c r="V69" s="2"/>
      <c r="W69" s="2"/>
      <c r="X69" s="2"/>
    </row>
    <row r="70" spans="2:24" s="1" customFormat="1">
      <c r="B70" s="4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7"/>
      <c r="O70" s="101" t="s">
        <v>96</v>
      </c>
      <c r="P70" s="151">
        <f ca="1">R72/N72-1</f>
        <v>0.88064996492598713</v>
      </c>
      <c r="Q70" s="101" t="s">
        <v>97</v>
      </c>
      <c r="R70" s="151">
        <f ca="1">R72/D72-1</f>
        <v>263.31914085634031</v>
      </c>
      <c r="S70" s="93"/>
      <c r="T70" s="2"/>
      <c r="U70" s="2"/>
      <c r="V70" s="2"/>
      <c r="W70" s="2"/>
      <c r="X70" s="2"/>
    </row>
    <row r="71" spans="2:24" s="1" customFormat="1">
      <c r="B71" s="2"/>
      <c r="C71" s="2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3" t="str">
        <f>IF(C21=1,"Conservative",IF(C21=2,"Base",IF(C21=3,"Optimistic","")))</f>
        <v>Conservative</v>
      </c>
      <c r="O71" s="101" t="s">
        <v>93</v>
      </c>
      <c r="P71" s="151">
        <f ca="1">(R72/N72)^(1/4)-1</f>
        <v>0.17105419064147065</v>
      </c>
      <c r="Q71" s="101" t="s">
        <v>92</v>
      </c>
      <c r="R71" s="151">
        <f ca="1">(R72/D72)^(1/14)-1</f>
        <v>0.48939258278662168</v>
      </c>
      <c r="S71" s="2"/>
      <c r="T71" s="2"/>
      <c r="U71" s="2"/>
      <c r="V71" s="2"/>
      <c r="W71" s="2"/>
      <c r="X71" s="2"/>
    </row>
    <row r="72" spans="2:24" s="1" customFormat="1">
      <c r="B72" s="2" t="s">
        <v>6</v>
      </c>
      <c r="C72" s="2"/>
      <c r="D72" s="15">
        <f t="shared" ref="D72:M72" si="12">D44</f>
        <v>878</v>
      </c>
      <c r="E72" s="15">
        <f t="shared" si="12"/>
        <v>1937</v>
      </c>
      <c r="F72" s="15">
        <f t="shared" si="12"/>
        <v>3210</v>
      </c>
      <c r="G72" s="15">
        <f t="shared" si="12"/>
        <v>3804</v>
      </c>
      <c r="H72" s="15">
        <f t="shared" si="12"/>
        <v>2846</v>
      </c>
      <c r="I72" s="15">
        <f t="shared" si="12"/>
        <v>4532</v>
      </c>
      <c r="J72" s="15">
        <f t="shared" si="12"/>
        <v>10041</v>
      </c>
      <c r="K72" s="15">
        <f t="shared" si="12"/>
        <v>5577</v>
      </c>
      <c r="L72" s="15">
        <f t="shared" si="12"/>
        <v>32972</v>
      </c>
      <c r="M72" s="15">
        <f t="shared" si="12"/>
        <v>81453</v>
      </c>
      <c r="N72" s="34">
        <f ca="1">N73*N65</f>
        <v>123400</v>
      </c>
      <c r="O72" s="34">
        <f ca="1">O73*O65</f>
        <v>165097</v>
      </c>
      <c r="P72" s="34">
        <f ca="1">P73*P65</f>
        <v>186704</v>
      </c>
      <c r="Q72" s="34">
        <f ca="1">Q73*Q65</f>
        <v>209287.99535383953</v>
      </c>
      <c r="R72" s="34">
        <f ca="1">R73*R65</f>
        <v>232072.2056718668</v>
      </c>
      <c r="S72" s="15"/>
      <c r="T72" s="2"/>
      <c r="U72" s="2"/>
      <c r="V72" s="2"/>
      <c r="W72" s="2"/>
      <c r="X72" s="2"/>
    </row>
    <row r="73" spans="2:24" s="1" customFormat="1">
      <c r="B73" s="2" t="s">
        <v>36</v>
      </c>
      <c r="C73" s="3"/>
      <c r="D73" s="70">
        <f t="shared" ref="D73:M73" si="13">D45</f>
        <v>0.17524950099800399</v>
      </c>
      <c r="E73" s="70">
        <f t="shared" si="13"/>
        <v>0.28031837916063673</v>
      </c>
      <c r="F73" s="70">
        <f t="shared" si="13"/>
        <v>0.33045089561457691</v>
      </c>
      <c r="G73" s="70">
        <f t="shared" si="13"/>
        <v>0.32468419255718678</v>
      </c>
      <c r="H73" s="70">
        <f t="shared" si="13"/>
        <v>0.2606704524638212</v>
      </c>
      <c r="I73" s="70">
        <f t="shared" si="13"/>
        <v>0.27178410794602698</v>
      </c>
      <c r="J73" s="70">
        <f t="shared" si="13"/>
        <v>0.37307720888756779</v>
      </c>
      <c r="K73" s="70">
        <f t="shared" si="13"/>
        <v>0.20675465262845702</v>
      </c>
      <c r="L73" s="70">
        <f t="shared" si="13"/>
        <v>0.54121663766783756</v>
      </c>
      <c r="M73" s="70">
        <f t="shared" si="13"/>
        <v>0.62417526839697468</v>
      </c>
      <c r="N73" s="68">
        <f ca="1">OFFSET(N73,$C$21,0)</f>
        <v>0.61758979825733573</v>
      </c>
      <c r="O73" s="68">
        <f ca="1">OFFSET(O73,$C$21,0)</f>
        <v>0.65763644909697827</v>
      </c>
      <c r="P73" s="68">
        <f ca="1">OFFSET(P73,$C$21,0)</f>
        <v>0.65559172293679135</v>
      </c>
      <c r="Q73" s="68">
        <f ca="1">OFFSET(Q73,$C$21,0)</f>
        <v>0.65559172293679135</v>
      </c>
      <c r="R73" s="68">
        <f ca="1">OFFSET(R73,$C$21,0)</f>
        <v>0.65559172293679135</v>
      </c>
      <c r="S73" s="36"/>
      <c r="T73" s="2"/>
      <c r="U73" s="2"/>
      <c r="V73" s="2"/>
      <c r="W73" s="2"/>
      <c r="X73" s="2"/>
    </row>
    <row r="74" spans="2:24" s="1" customFormat="1">
      <c r="B74" s="39" t="s">
        <v>20</v>
      </c>
      <c r="C74" s="27" t="s">
        <v>55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64">
        <f>N45</f>
        <v>0.61758979825733573</v>
      </c>
      <c r="O74" s="64">
        <f>O45</f>
        <v>0.65763644909697827</v>
      </c>
      <c r="P74" s="64">
        <f>P45</f>
        <v>0.65559172293679135</v>
      </c>
      <c r="Q74" s="65">
        <f>P74*(1+$G23)</f>
        <v>0.65559172293679135</v>
      </c>
      <c r="R74" s="65">
        <f>Q74*(1+$G23)</f>
        <v>0.65559172293679135</v>
      </c>
      <c r="S74" s="40"/>
      <c r="T74" s="2"/>
      <c r="U74" s="2"/>
      <c r="V74" s="2"/>
      <c r="W74" s="2"/>
      <c r="X74" s="2"/>
    </row>
    <row r="75" spans="2:24" s="1" customFormat="1">
      <c r="B75" s="41" t="s">
        <v>13</v>
      </c>
      <c r="C75" s="27" t="s">
        <v>56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64">
        <f>N45</f>
        <v>0.61758979825733573</v>
      </c>
      <c r="O75" s="64">
        <f>O45</f>
        <v>0.65763644909697827</v>
      </c>
      <c r="P75" s="64">
        <f>P74</f>
        <v>0.65559172293679135</v>
      </c>
      <c r="Q75" s="64">
        <f>P75*(1+$H23)</f>
        <v>0.66542559878084317</v>
      </c>
      <c r="R75" s="64">
        <f>Q75*(1+$H23)</f>
        <v>0.67540698276255573</v>
      </c>
      <c r="S75" s="40"/>
      <c r="T75" s="2"/>
      <c r="U75" s="2"/>
      <c r="V75" s="2"/>
      <c r="W75" s="2"/>
      <c r="X75" s="2"/>
    </row>
    <row r="76" spans="2:24" s="1" customFormat="1">
      <c r="B76" s="42" t="s">
        <v>21</v>
      </c>
      <c r="C76" s="27" t="s">
        <v>57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64">
        <f>N45</f>
        <v>0.61758979825733573</v>
      </c>
      <c r="O76" s="64">
        <f>O45</f>
        <v>0.65763644909697827</v>
      </c>
      <c r="P76" s="64">
        <f>P75</f>
        <v>0.65559172293679135</v>
      </c>
      <c r="Q76" s="66">
        <f>P76*(1+$I23)</f>
        <v>0.67198151601021106</v>
      </c>
      <c r="R76" s="66">
        <f>Q76*(1+$I23)</f>
        <v>0.68878105391046629</v>
      </c>
      <c r="S76" s="57"/>
      <c r="T76" s="58"/>
      <c r="U76" s="2"/>
      <c r="V76" s="2"/>
      <c r="W76" s="2"/>
      <c r="X76" s="2"/>
    </row>
    <row r="77" spans="2:24" s="1" customForma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69"/>
      <c r="O77" s="69"/>
      <c r="P77" s="69"/>
      <c r="Q77" s="69"/>
      <c r="R77" s="69"/>
      <c r="S77" s="59"/>
      <c r="T77" s="59"/>
      <c r="U77" s="2"/>
      <c r="V77" s="2"/>
      <c r="W77" s="2"/>
      <c r="X77" s="2"/>
    </row>
    <row r="78" spans="2:24" s="1" customFormat="1">
      <c r="B78" s="2" t="s">
        <v>15</v>
      </c>
      <c r="C78" s="2"/>
      <c r="D78" s="15">
        <f t="shared" ref="D78:O78" si="14">D47</f>
        <v>129</v>
      </c>
      <c r="E78" s="15">
        <f t="shared" si="14"/>
        <v>239</v>
      </c>
      <c r="F78" s="15">
        <f t="shared" si="14"/>
        <v>149</v>
      </c>
      <c r="G78" s="15">
        <f t="shared" si="14"/>
        <v>0</v>
      </c>
      <c r="H78" s="15">
        <f t="shared" si="14"/>
        <v>174</v>
      </c>
      <c r="I78" s="15">
        <f t="shared" si="14"/>
        <v>77</v>
      </c>
      <c r="J78" s="15">
        <f t="shared" si="14"/>
        <v>189</v>
      </c>
      <c r="K78" s="15">
        <f t="shared" si="14"/>
        <v>0</v>
      </c>
      <c r="L78" s="15">
        <f t="shared" si="14"/>
        <v>4058</v>
      </c>
      <c r="M78" s="15">
        <f t="shared" si="14"/>
        <v>11146</v>
      </c>
      <c r="N78" s="34">
        <f>N47</f>
        <v>18106</v>
      </c>
      <c r="O78" s="34">
        <f t="shared" si="14"/>
        <v>17298</v>
      </c>
      <c r="P78" s="34">
        <f ca="1">P72*P79</f>
        <v>20769.050185055774</v>
      </c>
      <c r="Q78" s="34">
        <f ca="1">Q72*Q79</f>
        <v>26432.263982752513</v>
      </c>
      <c r="R78" s="34">
        <f ca="1">R72*R79</f>
        <v>29309.821583447465</v>
      </c>
      <c r="S78" s="91"/>
      <c r="T78" s="59"/>
      <c r="U78" s="2"/>
      <c r="V78" s="2"/>
      <c r="W78" s="2"/>
      <c r="X78" s="2"/>
    </row>
    <row r="79" spans="2:24" s="1" customFormat="1">
      <c r="B79" s="3" t="s">
        <v>43</v>
      </c>
      <c r="C79" s="3"/>
      <c r="D79" s="70">
        <f t="shared" ref="D79:L79" si="15">D48</f>
        <v>0.17362045760430686</v>
      </c>
      <c r="E79" s="70">
        <f t="shared" si="15"/>
        <v>0.12545931758530185</v>
      </c>
      <c r="F79" s="70">
        <f t="shared" si="15"/>
        <v>4.6620775969962454E-2</v>
      </c>
      <c r="G79" s="70">
        <f t="shared" si="15"/>
        <v>0</v>
      </c>
      <c r="H79" s="70">
        <f t="shared" si="15"/>
        <v>5.8585858585858588E-2</v>
      </c>
      <c r="I79" s="70">
        <f t="shared" si="15"/>
        <v>1.7464277613971423E-2</v>
      </c>
      <c r="J79" s="70">
        <f t="shared" si="15"/>
        <v>1.9012171813700834E-2</v>
      </c>
      <c r="K79" s="70">
        <f t="shared" si="15"/>
        <v>0</v>
      </c>
      <c r="L79" s="70">
        <f t="shared" si="15"/>
        <v>0.1199952687917677</v>
      </c>
      <c r="M79" s="70">
        <f>M48</f>
        <v>0.13264941803727417</v>
      </c>
      <c r="N79" s="64">
        <f>N48</f>
        <v>0.15187558716950744</v>
      </c>
      <c r="O79" s="64">
        <f>O48</f>
        <v>0.1157722837217396</v>
      </c>
      <c r="P79" s="64">
        <f>P48</f>
        <v>0.1112405207443642</v>
      </c>
      <c r="Q79" s="67">
        <f>AVERAGE(N79:P79)</f>
        <v>0.12629613054520375</v>
      </c>
      <c r="R79" s="67">
        <f>Q79</f>
        <v>0.12629613054520375</v>
      </c>
      <c r="S79" s="59" t="s">
        <v>23</v>
      </c>
      <c r="T79" s="59"/>
      <c r="U79" s="2"/>
      <c r="V79" s="2"/>
      <c r="W79" s="2"/>
      <c r="X79" s="2"/>
    </row>
    <row r="80" spans="2:24" s="1" customForma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3"/>
      <c r="O80" s="13"/>
      <c r="P80" s="13"/>
      <c r="Q80" s="13"/>
      <c r="R80" s="13"/>
      <c r="S80" s="59"/>
      <c r="T80" s="59"/>
      <c r="U80" s="2"/>
      <c r="V80" s="2"/>
      <c r="W80" s="2"/>
      <c r="X80" s="2"/>
    </row>
    <row r="81" spans="2:24" s="8" customFormat="1">
      <c r="B81" s="135" t="s">
        <v>22</v>
      </c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78"/>
      <c r="N81" s="60">
        <f ca="1">N72-N78</f>
        <v>105294</v>
      </c>
      <c r="O81" s="60">
        <f ca="1">O72-O78</f>
        <v>147799</v>
      </c>
      <c r="P81" s="60">
        <f ca="1">P72-P78</f>
        <v>165934.94981494424</v>
      </c>
      <c r="Q81" s="60">
        <f ca="1">Q72-Q78</f>
        <v>182855.73137108702</v>
      </c>
      <c r="R81" s="60">
        <f ca="1">R72-R78</f>
        <v>202762.38408841935</v>
      </c>
      <c r="S81" s="59"/>
      <c r="T81" s="59"/>
      <c r="U81" s="7"/>
      <c r="V81" s="7"/>
      <c r="W81" s="7"/>
      <c r="X81" s="7"/>
    </row>
    <row r="82" spans="2:24" s="1" customForma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3"/>
      <c r="O82" s="13"/>
      <c r="P82" s="13"/>
      <c r="Q82" s="13"/>
      <c r="R82" s="13"/>
      <c r="S82" s="59"/>
      <c r="T82" s="59"/>
      <c r="U82" s="2"/>
      <c r="V82" s="2"/>
      <c r="W82" s="2"/>
      <c r="X82" s="2"/>
    </row>
    <row r="83" spans="2:24" s="1" customFormat="1">
      <c r="B83" s="2" t="s">
        <v>17</v>
      </c>
      <c r="C83" s="2"/>
      <c r="D83" s="15">
        <f t="shared" ref="D83:L83" si="16">D51</f>
        <v>614</v>
      </c>
      <c r="E83" s="15">
        <f t="shared" si="16"/>
        <v>1666</v>
      </c>
      <c r="F83" s="15">
        <f t="shared" si="16"/>
        <v>3047</v>
      </c>
      <c r="G83" s="15">
        <f t="shared" si="16"/>
        <v>4141</v>
      </c>
      <c r="H83" s="15">
        <f t="shared" si="16"/>
        <v>2796</v>
      </c>
      <c r="I83" s="15">
        <f t="shared" si="16"/>
        <v>4332</v>
      </c>
      <c r="J83" s="15">
        <f t="shared" si="16"/>
        <v>9752</v>
      </c>
      <c r="K83" s="15">
        <f t="shared" si="16"/>
        <v>4368</v>
      </c>
      <c r="L83" s="15">
        <f t="shared" si="16"/>
        <v>29760</v>
      </c>
      <c r="M83" s="15">
        <f>M51</f>
        <v>72880</v>
      </c>
      <c r="N83" s="34">
        <f ca="1">N65*N84</f>
        <v>62298.483031135722</v>
      </c>
      <c r="O83" s="34">
        <f ca="1">O65*O84</f>
        <v>78273.676215958723</v>
      </c>
      <c r="P83" s="34">
        <f ca="1">P65*P84</f>
        <v>88793.788502960568</v>
      </c>
      <c r="Q83" s="34">
        <f ca="1">Q65*Q84</f>
        <v>99534.418093117565</v>
      </c>
      <c r="R83" s="34">
        <f ca="1">R65*R84</f>
        <v>110370.26709574142</v>
      </c>
      <c r="S83" s="59"/>
      <c r="T83" s="59"/>
      <c r="U83" s="2"/>
      <c r="V83" s="2"/>
      <c r="W83" s="2"/>
      <c r="X83" s="2"/>
    </row>
    <row r="84" spans="2:24" s="1" customFormat="1">
      <c r="B84" s="2" t="s">
        <v>36</v>
      </c>
      <c r="C84" s="2"/>
      <c r="D84" s="70">
        <f t="shared" ref="D84:M84" si="17">D52</f>
        <v>0.12255489021956088</v>
      </c>
      <c r="E84" s="70">
        <f t="shared" si="17"/>
        <v>0.24109985528219971</v>
      </c>
      <c r="F84" s="70">
        <f t="shared" si="17"/>
        <v>0.3136709903232448</v>
      </c>
      <c r="G84" s="70">
        <f t="shared" si="17"/>
        <v>0.35344827586206895</v>
      </c>
      <c r="H84" s="70">
        <f t="shared" si="17"/>
        <v>0.25609085913170909</v>
      </c>
      <c r="I84" s="70">
        <f t="shared" si="17"/>
        <v>0.25979010494752625</v>
      </c>
      <c r="J84" s="70">
        <f t="shared" si="17"/>
        <v>0.36233930296499961</v>
      </c>
      <c r="K84" s="70">
        <f t="shared" si="17"/>
        <v>0.16193371394676356</v>
      </c>
      <c r="L84" s="70">
        <f t="shared" si="17"/>
        <v>0.4884934834706674</v>
      </c>
      <c r="M84" s="70">
        <f t="shared" si="17"/>
        <v>0.55848027157712443</v>
      </c>
      <c r="N84" s="67">
        <f>AVERAGE(D84:M84)</f>
        <v>0.31179017477258641</v>
      </c>
      <c r="O84" s="67">
        <f>N84</f>
        <v>0.31179017477258641</v>
      </c>
      <c r="P84" s="67">
        <f>O84</f>
        <v>0.31179017477258641</v>
      </c>
      <c r="Q84" s="67">
        <f>P84</f>
        <v>0.31179017477258641</v>
      </c>
      <c r="R84" s="67">
        <f>Q84</f>
        <v>0.31179017477258641</v>
      </c>
      <c r="S84" s="59" t="s">
        <v>23</v>
      </c>
      <c r="T84" s="59"/>
      <c r="U84" s="2"/>
      <c r="V84" s="2"/>
      <c r="W84" s="2"/>
      <c r="X84" s="2"/>
    </row>
    <row r="85" spans="2:24" s="1" customForma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13"/>
      <c r="O85" s="13"/>
      <c r="P85" s="13"/>
      <c r="Q85" s="13"/>
      <c r="R85" s="13"/>
      <c r="S85" s="59"/>
      <c r="T85" s="59"/>
      <c r="U85" s="2"/>
      <c r="V85" s="2"/>
      <c r="W85" s="2"/>
      <c r="X85" s="2"/>
    </row>
    <row r="86" spans="2:24" s="1" customFormat="1">
      <c r="B86" s="2" t="s">
        <v>18</v>
      </c>
      <c r="C86" s="2"/>
      <c r="D86" s="15">
        <f t="shared" ref="D86:M86" si="18">D54</f>
        <v>79</v>
      </c>
      <c r="E86" s="15">
        <f t="shared" si="18"/>
        <v>169</v>
      </c>
      <c r="F86" s="15">
        <f t="shared" si="18"/>
        <v>591</v>
      </c>
      <c r="G86" s="15">
        <f t="shared" si="18"/>
        <v>600</v>
      </c>
      <c r="H86" s="15">
        <f t="shared" si="18"/>
        <v>489</v>
      </c>
      <c r="I86" s="15">
        <f t="shared" si="18"/>
        <v>1128</v>
      </c>
      <c r="J86" s="15">
        <f t="shared" si="18"/>
        <v>976</v>
      </c>
      <c r="K86" s="15">
        <f t="shared" si="18"/>
        <v>1833</v>
      </c>
      <c r="L86" s="15">
        <f t="shared" si="18"/>
        <v>1069</v>
      </c>
      <c r="M86" s="15">
        <f t="shared" si="18"/>
        <v>3236</v>
      </c>
      <c r="N86" s="34">
        <f ca="1">N65*N87</f>
        <v>8217.6431837857835</v>
      </c>
      <c r="O86" s="34">
        <f ca="1">O65*O87</f>
        <v>10324.892525945706</v>
      </c>
      <c r="P86" s="34">
        <f ca="1">P65*P87</f>
        <v>11712.575256273751</v>
      </c>
      <c r="Q86" s="34">
        <f ca="1">Q65*Q87</f>
        <v>13129.345894123942</v>
      </c>
      <c r="R86" s="34">
        <f ca="1">R65*R87</f>
        <v>14558.676695845721</v>
      </c>
      <c r="S86" s="59"/>
      <c r="T86" s="59"/>
      <c r="U86" s="2"/>
      <c r="V86" s="2"/>
      <c r="W86" s="2"/>
      <c r="X86" s="2"/>
    </row>
    <row r="87" spans="2:24" s="1" customFormat="1">
      <c r="B87" s="2" t="s">
        <v>36</v>
      </c>
      <c r="C87" s="3"/>
      <c r="D87" s="70">
        <f t="shared" ref="D87:M87" si="19">D55</f>
        <v>1.5768463073852296E-2</v>
      </c>
      <c r="E87" s="70">
        <f t="shared" si="19"/>
        <v>2.4457308248914615E-2</v>
      </c>
      <c r="F87" s="70">
        <f t="shared" si="19"/>
        <v>6.0840024706609021E-2</v>
      </c>
      <c r="G87" s="70">
        <f t="shared" si="19"/>
        <v>5.1212017753499491E-2</v>
      </c>
      <c r="H87" s="70">
        <f t="shared" si="19"/>
        <v>4.478842278805642E-2</v>
      </c>
      <c r="I87" s="70">
        <f t="shared" si="19"/>
        <v>6.7646176911544231E-2</v>
      </c>
      <c r="J87" s="70">
        <f t="shared" si="19"/>
        <v>3.6263654603552055E-2</v>
      </c>
      <c r="K87" s="70">
        <f t="shared" si="19"/>
        <v>6.7954326388373995E-2</v>
      </c>
      <c r="L87" s="70">
        <f t="shared" si="19"/>
        <v>1.7547027346442992E-2</v>
      </c>
      <c r="M87" s="70">
        <f t="shared" si="19"/>
        <v>2.4797504923484832E-2</v>
      </c>
      <c r="N87" s="67">
        <f>AVERAGE(D87:M87)</f>
        <v>4.1127492674432997E-2</v>
      </c>
      <c r="O87" s="67">
        <f>N87</f>
        <v>4.1127492674432997E-2</v>
      </c>
      <c r="P87" s="67">
        <f>O87</f>
        <v>4.1127492674432997E-2</v>
      </c>
      <c r="Q87" s="67">
        <f>P87</f>
        <v>4.1127492674432997E-2</v>
      </c>
      <c r="R87" s="67">
        <f>Q87</f>
        <v>4.1127492674432997E-2</v>
      </c>
      <c r="S87" s="59" t="s">
        <v>23</v>
      </c>
      <c r="T87" s="59"/>
      <c r="U87" s="2"/>
      <c r="V87" s="2"/>
      <c r="W87" s="2"/>
      <c r="X87" s="2"/>
    </row>
    <row r="88" spans="2:24" s="1" customForma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3"/>
      <c r="O88" s="13"/>
      <c r="P88" s="13"/>
      <c r="Q88" s="13"/>
      <c r="R88" s="13"/>
      <c r="S88" s="59"/>
      <c r="T88" s="59"/>
      <c r="U88" s="2"/>
      <c r="V88" s="2"/>
      <c r="W88" s="2"/>
      <c r="X88" s="2"/>
    </row>
    <row r="89" spans="2:24" s="1" customFormat="1">
      <c r="B89" s="2" t="s">
        <v>19</v>
      </c>
      <c r="C89" s="2"/>
      <c r="D89" s="15">
        <f t="shared" ref="D89:M89" si="20">D57</f>
        <v>51</v>
      </c>
      <c r="E89" s="15">
        <f t="shared" si="20"/>
        <v>679</v>
      </c>
      <c r="F89" s="15">
        <f t="shared" si="20"/>
        <v>-185</v>
      </c>
      <c r="G89" s="15">
        <f t="shared" si="20"/>
        <v>857</v>
      </c>
      <c r="H89" s="15">
        <f t="shared" si="20"/>
        <v>-717</v>
      </c>
      <c r="I89" s="15">
        <f t="shared" si="20"/>
        <v>703</v>
      </c>
      <c r="J89" s="15">
        <f t="shared" si="20"/>
        <v>3363</v>
      </c>
      <c r="K89" s="15">
        <f t="shared" si="20"/>
        <v>2207</v>
      </c>
      <c r="L89" s="15">
        <f t="shared" si="20"/>
        <v>3722</v>
      </c>
      <c r="M89" s="15">
        <f t="shared" si="20"/>
        <v>9383</v>
      </c>
      <c r="N89" s="34">
        <f ca="1">N90*N65</f>
        <v>9566.9222468275057</v>
      </c>
      <c r="O89" s="34">
        <f ca="1">O90*O65</f>
        <v>12020.167071438513</v>
      </c>
      <c r="P89" s="34">
        <f ca="1">P90*P65</f>
        <v>13635.697520668562</v>
      </c>
      <c r="Q89" s="34">
        <f ca="1">Q90*Q65</f>
        <v>15285.09190671889</v>
      </c>
      <c r="R89" s="34">
        <f ca="1">R90*R65</f>
        <v>16949.108746978956</v>
      </c>
      <c r="S89" s="59"/>
      <c r="T89" s="59"/>
      <c r="U89" s="2"/>
      <c r="V89" s="2"/>
      <c r="W89" s="2"/>
      <c r="X89" s="2"/>
    </row>
    <row r="90" spans="2:24" s="1" customFormat="1">
      <c r="B90" s="2" t="s">
        <v>36</v>
      </c>
      <c r="C90" s="3"/>
      <c r="D90" s="70">
        <f t="shared" ref="D90:M90" si="21">D58</f>
        <v>1.0179640718562874E-2</v>
      </c>
      <c r="E90" s="70">
        <f t="shared" si="21"/>
        <v>9.8263386396526778E-2</v>
      </c>
      <c r="F90" s="70">
        <f t="shared" si="21"/>
        <v>-1.9044677784640723E-2</v>
      </c>
      <c r="G90" s="70">
        <f t="shared" si="21"/>
        <v>7.3147832024581763E-2</v>
      </c>
      <c r="H90" s="70">
        <f t="shared" si="21"/>
        <v>-6.5671368382487633E-2</v>
      </c>
      <c r="I90" s="70">
        <f t="shared" si="21"/>
        <v>4.2158920539730138E-2</v>
      </c>
      <c r="J90" s="70">
        <f t="shared" si="21"/>
        <v>0.12495355577023111</v>
      </c>
      <c r="K90" s="70">
        <f t="shared" si="21"/>
        <v>8.181952991769853E-2</v>
      </c>
      <c r="L90" s="70">
        <f t="shared" si="21"/>
        <v>6.1094514296969896E-2</v>
      </c>
      <c r="M90" s="70">
        <f t="shared" si="21"/>
        <v>7.1902036062131691E-2</v>
      </c>
      <c r="N90" s="67">
        <f>AVERAGE(D90:M90)</f>
        <v>4.7880336955930441E-2</v>
      </c>
      <c r="O90" s="67">
        <f>N90</f>
        <v>4.7880336955930441E-2</v>
      </c>
      <c r="P90" s="67">
        <f>O90</f>
        <v>4.7880336955930441E-2</v>
      </c>
      <c r="Q90" s="67">
        <f>P90</f>
        <v>4.7880336955930441E-2</v>
      </c>
      <c r="R90" s="67">
        <f>Q90</f>
        <v>4.7880336955930441E-2</v>
      </c>
      <c r="S90" s="59" t="s">
        <v>23</v>
      </c>
      <c r="T90" s="59"/>
      <c r="U90" s="2"/>
      <c r="V90" s="2"/>
      <c r="W90" s="2"/>
      <c r="X90" s="2"/>
    </row>
    <row r="91" spans="2:24" s="1" customForma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13"/>
      <c r="O91" s="13"/>
      <c r="P91" s="13"/>
      <c r="Q91" s="13"/>
      <c r="R91" s="13"/>
      <c r="S91" s="59"/>
      <c r="T91" s="59"/>
      <c r="U91" s="2"/>
      <c r="V91" s="2"/>
      <c r="W91" s="2"/>
      <c r="X91" s="2"/>
    </row>
    <row r="92" spans="2:24" s="8" customFormat="1">
      <c r="B92" s="135" t="s">
        <v>24</v>
      </c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60"/>
      <c r="N92" s="60">
        <f ca="1">N81+N83-N86-N89</f>
        <v>149807.91760052243</v>
      </c>
      <c r="O92" s="60">
        <f ca="1">O81+O83-O86-O89</f>
        <v>203727.61661857451</v>
      </c>
      <c r="P92" s="60">
        <f ca="1">P81+P83-P86-P89</f>
        <v>229380.4655409625</v>
      </c>
      <c r="Q92" s="60">
        <f ca="1">Q81+Q83-Q86-Q89</f>
        <v>253975.71166336173</v>
      </c>
      <c r="R92" s="60">
        <f ca="1">R81+R83-R86-R89</f>
        <v>281624.86574133608</v>
      </c>
      <c r="S92" s="16"/>
      <c r="T92" s="7"/>
      <c r="U92" s="7"/>
      <c r="V92" s="7"/>
      <c r="W92" s="7"/>
      <c r="X92" s="7"/>
    </row>
    <row r="93" spans="2:24" s="8" customFormat="1">
      <c r="B93" s="135" t="s">
        <v>25</v>
      </c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78"/>
      <c r="N93" s="60">
        <f ca="1">N92/(1+$C26)^N62</f>
        <v>144029.66039439288</v>
      </c>
      <c r="O93" s="60">
        <f ca="1">O92/(1+$C26)^O62</f>
        <v>170363.95922893498</v>
      </c>
      <c r="P93" s="60">
        <f ca="1">P92/(1+$C26)^P62</f>
        <v>166837.97128934666</v>
      </c>
      <c r="Q93" s="60">
        <f ca="1">Q92/(1+$C26)^Q62</f>
        <v>160672.40960965183</v>
      </c>
      <c r="R93" s="60">
        <f ca="1">R92/(1+$C26)^R62</f>
        <v>154963.98252957567</v>
      </c>
      <c r="S93" s="16"/>
      <c r="T93" s="7"/>
      <c r="U93" s="7"/>
      <c r="V93" s="7"/>
      <c r="W93" s="7"/>
      <c r="X93" s="7"/>
    </row>
    <row r="94" spans="2:24" s="1" customForma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3"/>
      <c r="O94" s="13"/>
      <c r="P94" s="13"/>
      <c r="Q94" s="13"/>
      <c r="R94" s="13"/>
      <c r="S94" s="2"/>
      <c r="T94" s="2"/>
      <c r="U94" s="2"/>
      <c r="V94" s="2"/>
      <c r="W94" s="2"/>
      <c r="X94" s="2"/>
    </row>
    <row r="95" spans="2:24" s="1" customFormat="1">
      <c r="B95" s="135" t="s">
        <v>28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78"/>
      <c r="N95" s="61"/>
      <c r="O95" s="61"/>
      <c r="P95" s="61"/>
      <c r="Q95" s="61"/>
      <c r="R95" s="78">
        <f ca="1">(R92*(1+C27))/(C26-C27)</f>
        <v>2176661.7293856246</v>
      </c>
      <c r="S95" s="15"/>
      <c r="T95" s="2"/>
      <c r="U95" s="2"/>
      <c r="V95" s="2"/>
      <c r="W95" s="2"/>
      <c r="X95" s="2"/>
    </row>
    <row r="96" spans="2:24" s="1" customFormat="1">
      <c r="B96" s="135" t="s">
        <v>29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78"/>
      <c r="N96" s="61"/>
      <c r="O96" s="61"/>
      <c r="P96" s="61"/>
      <c r="Q96" s="61"/>
      <c r="R96" s="78">
        <f ca="1">R95/(1+C26)^R62</f>
        <v>1197707.3449015457</v>
      </c>
      <c r="S96" s="15"/>
      <c r="T96" s="2"/>
      <c r="U96" s="2"/>
      <c r="V96" s="2"/>
      <c r="W96" s="2"/>
      <c r="X96" s="2"/>
    </row>
    <row r="97" spans="2:24" s="1" customFormat="1">
      <c r="B97" s="135" t="s">
        <v>30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03"/>
      <c r="N97" s="61"/>
      <c r="O97" s="61"/>
      <c r="P97" s="61"/>
      <c r="Q97" s="61"/>
      <c r="R97" s="78">
        <f ca="1">SUM(N93:R93)+R96</f>
        <v>1994575.3279534478</v>
      </c>
      <c r="S97" s="15"/>
      <c r="T97" s="2"/>
      <c r="U97" s="2"/>
      <c r="V97" s="2"/>
      <c r="W97" s="2"/>
      <c r="X97" s="2"/>
    </row>
    <row r="98" spans="2:24" s="1" customFormat="1">
      <c r="B98" s="135" t="s">
        <v>31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04"/>
      <c r="N98" s="61"/>
      <c r="O98" s="61"/>
      <c r="P98" s="61"/>
      <c r="Q98" s="61"/>
      <c r="R98" s="78">
        <f>G6</f>
        <v>15234</v>
      </c>
      <c r="S98" s="15"/>
      <c r="T98" s="2"/>
      <c r="U98" s="2"/>
      <c r="V98" s="2"/>
      <c r="W98" s="2"/>
      <c r="X98" s="2"/>
    </row>
    <row r="99" spans="2:24" s="1" customFormat="1">
      <c r="B99" s="135" t="s">
        <v>32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04"/>
      <c r="N99" s="61"/>
      <c r="O99" s="61"/>
      <c r="P99" s="61"/>
      <c r="Q99" s="61"/>
      <c r="R99" s="78">
        <f>G7</f>
        <v>10285</v>
      </c>
      <c r="S99" s="15"/>
      <c r="T99" s="2"/>
      <c r="U99" s="2"/>
      <c r="V99" s="2"/>
      <c r="W99" s="2"/>
      <c r="X99" s="2"/>
    </row>
    <row r="100" spans="2:24" s="1" customFormat="1">
      <c r="B100" s="135" t="s">
        <v>33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03"/>
      <c r="N100" s="61"/>
      <c r="O100" s="61"/>
      <c r="P100" s="61"/>
      <c r="Q100" s="61"/>
      <c r="R100" s="78">
        <f ca="1">R97+R98-R99</f>
        <v>1999524.3279534478</v>
      </c>
      <c r="S100" s="15"/>
      <c r="T100" s="2"/>
      <c r="U100" s="2"/>
      <c r="V100" s="2"/>
      <c r="W100" s="2"/>
      <c r="X100" s="2"/>
    </row>
    <row r="101" spans="2:24" s="1" customFormat="1"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3"/>
      <c r="O101" s="13"/>
      <c r="P101" s="13"/>
      <c r="Q101" s="13"/>
      <c r="R101" s="62"/>
      <c r="S101" s="2"/>
      <c r="T101" s="2"/>
      <c r="U101" s="2"/>
      <c r="V101" s="2"/>
      <c r="W101" s="2"/>
      <c r="X101" s="2"/>
    </row>
    <row r="102" spans="2:24" s="1" customFormat="1">
      <c r="B102" s="135" t="s">
        <v>58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04"/>
      <c r="N102" s="61"/>
      <c r="O102" s="61"/>
      <c r="P102" s="109"/>
      <c r="Q102" s="19" t="s">
        <v>103</v>
      </c>
      <c r="R102" s="60">
        <f>IS!Z32</f>
        <v>24804</v>
      </c>
      <c r="S102" s="84"/>
      <c r="T102" s="2"/>
      <c r="U102" s="2"/>
      <c r="V102" s="2"/>
      <c r="W102" s="2"/>
      <c r="X102" s="2"/>
    </row>
    <row r="103" spans="2:24" s="1" customFormat="1">
      <c r="B103" s="135" t="s">
        <v>101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61"/>
      <c r="O103" s="61"/>
      <c r="P103" s="109"/>
      <c r="Q103" s="61"/>
      <c r="R103" s="63">
        <f ca="1">R100/R102</f>
        <v>80.612978872498303</v>
      </c>
      <c r="S103" s="31"/>
      <c r="T103" s="2"/>
      <c r="U103" s="2"/>
      <c r="V103" s="2"/>
      <c r="W103" s="2"/>
      <c r="X103" s="2"/>
    </row>
    <row r="104" spans="2:24" s="1" customFormat="1"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3"/>
      <c r="O104" s="13"/>
      <c r="P104" s="62"/>
      <c r="Q104" s="13"/>
      <c r="R104" s="105"/>
      <c r="S104" s="31"/>
      <c r="T104" s="2"/>
      <c r="U104" s="2"/>
      <c r="V104" s="2"/>
      <c r="W104" s="2"/>
      <c r="X104" s="2"/>
    </row>
    <row r="105" spans="2:24" s="1" customFormat="1" ht="23">
      <c r="B105" s="143" t="s">
        <v>75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52"/>
      <c r="O105" s="13"/>
      <c r="P105" s="62"/>
      <c r="Q105" s="13"/>
      <c r="R105" s="119"/>
      <c r="S105" s="31"/>
      <c r="T105" s="2"/>
      <c r="U105" s="2"/>
      <c r="V105" s="2"/>
      <c r="W105" s="2"/>
      <c r="X105" s="2"/>
    </row>
    <row r="106" spans="2:24" s="1" customFormat="1"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52"/>
      <c r="O106" s="13"/>
      <c r="P106" s="62"/>
      <c r="Q106" s="13"/>
      <c r="R106" s="119"/>
      <c r="S106" s="31"/>
      <c r="T106" s="2"/>
      <c r="U106" s="2"/>
      <c r="V106" s="2"/>
      <c r="W106" s="2"/>
      <c r="X106" s="2"/>
    </row>
    <row r="107" spans="2:24" s="1" customFormat="1">
      <c r="B107" s="135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48">
        <f>E6</f>
        <v>45816</v>
      </c>
      <c r="O107" s="109"/>
      <c r="P107" s="116"/>
      <c r="Q107" s="109"/>
      <c r="R107" s="109">
        <f>R60</f>
        <v>2029</v>
      </c>
      <c r="S107" s="31"/>
      <c r="T107" s="2"/>
      <c r="U107" s="2"/>
      <c r="V107" s="2"/>
      <c r="W107" s="2"/>
      <c r="X107" s="2"/>
    </row>
    <row r="108" spans="2:24" s="1" customFormat="1">
      <c r="B108" s="135" t="s">
        <v>71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08">
        <f>N61</f>
        <v>0.56388888888888888</v>
      </c>
      <c r="O108" s="108"/>
      <c r="P108" s="117"/>
      <c r="Q108" s="108"/>
      <c r="R108" s="108">
        <f>R62</f>
        <v>4.281944444444445</v>
      </c>
      <c r="S108" s="31"/>
      <c r="T108" s="2"/>
      <c r="U108" s="2"/>
      <c r="V108" s="2"/>
      <c r="W108" s="2"/>
      <c r="X108" s="2"/>
    </row>
    <row r="109" spans="2:24" s="1" customFormat="1"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62"/>
      <c r="O109" s="62"/>
      <c r="P109" s="118"/>
      <c r="Q109" s="62"/>
      <c r="R109" s="119"/>
      <c r="S109" s="31"/>
      <c r="T109" s="2"/>
      <c r="U109" s="2"/>
      <c r="V109" s="2"/>
      <c r="W109" s="2"/>
      <c r="X109" s="2"/>
    </row>
    <row r="110" spans="2:24" s="1" customFormat="1">
      <c r="B110" s="135" t="s">
        <v>68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60">
        <f ca="1">N81</f>
        <v>105294</v>
      </c>
      <c r="O110" s="109"/>
      <c r="P110" s="19" t="s">
        <v>103</v>
      </c>
      <c r="Q110" s="44" t="s">
        <v>72</v>
      </c>
      <c r="R110" s="120">
        <v>202762</v>
      </c>
      <c r="S110" s="2"/>
      <c r="T110" s="2"/>
      <c r="U110" s="2"/>
      <c r="V110" s="2"/>
      <c r="W110" s="2"/>
      <c r="X110" s="2"/>
    </row>
    <row r="111" spans="2:24" s="1" customFormat="1">
      <c r="B111" s="135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60"/>
      <c r="O111" s="109"/>
      <c r="P111" s="19" t="s">
        <v>103</v>
      </c>
      <c r="Q111" s="45" t="s">
        <v>13</v>
      </c>
      <c r="R111" s="136">
        <v>212499</v>
      </c>
      <c r="S111" s="2"/>
      <c r="T111" s="2"/>
      <c r="U111" s="2"/>
      <c r="V111" s="2"/>
      <c r="W111" s="2"/>
      <c r="X111" s="2"/>
    </row>
    <row r="112" spans="2:24" s="1" customFormat="1">
      <c r="B112" s="135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60"/>
      <c r="O112" s="109"/>
      <c r="P112" s="19" t="s">
        <v>103</v>
      </c>
      <c r="Q112" s="46" t="s">
        <v>21</v>
      </c>
      <c r="R112" s="137">
        <v>282711</v>
      </c>
      <c r="S112" s="2"/>
      <c r="T112" s="2"/>
      <c r="U112" s="2"/>
      <c r="V112" s="2"/>
      <c r="W112" s="2"/>
      <c r="X112" s="2"/>
    </row>
    <row r="113" spans="2:24" s="1" customFormat="1"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11"/>
      <c r="O113" s="62"/>
      <c r="P113" s="37"/>
      <c r="Q113" s="62"/>
      <c r="R113" s="16"/>
      <c r="S113" s="2"/>
      <c r="T113" s="2"/>
      <c r="U113" s="2"/>
      <c r="V113" s="2"/>
      <c r="W113" s="2"/>
      <c r="X113" s="2"/>
    </row>
    <row r="114" spans="2:24" s="1" customFormat="1">
      <c r="B114" s="135" t="s">
        <v>70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9" t="s">
        <v>103</v>
      </c>
      <c r="N114" s="112">
        <v>264</v>
      </c>
      <c r="O114" s="144"/>
      <c r="P114" s="85"/>
      <c r="Q114" s="19" t="s">
        <v>103</v>
      </c>
      <c r="R114" s="121">
        <v>2518</v>
      </c>
      <c r="S114" s="82" t="s">
        <v>119</v>
      </c>
      <c r="T114" s="82"/>
      <c r="U114" s="2"/>
      <c r="V114" s="2"/>
      <c r="W114" s="2"/>
      <c r="X114" s="2"/>
    </row>
    <row r="115" spans="2:24" s="1" customFormat="1"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111"/>
      <c r="O115" s="145"/>
      <c r="P115" s="142"/>
      <c r="Q115" s="62"/>
      <c r="R115" s="16"/>
      <c r="S115" s="77" t="s">
        <v>325</v>
      </c>
      <c r="T115" s="3"/>
      <c r="U115" s="2"/>
      <c r="V115" s="2"/>
      <c r="W115" s="2"/>
      <c r="X115" s="2"/>
    </row>
    <row r="116" spans="2:24" s="1" customFormat="1">
      <c r="B116" s="135" t="s">
        <v>69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13">
        <f>N79</f>
        <v>0.15187558716950744</v>
      </c>
      <c r="O116" s="113"/>
      <c r="P116" s="126"/>
      <c r="Q116" s="113"/>
      <c r="R116" s="122">
        <f>R79</f>
        <v>0.12629613054520375</v>
      </c>
      <c r="S116" s="2"/>
      <c r="T116" s="2"/>
      <c r="U116" s="2"/>
      <c r="V116" s="2"/>
      <c r="W116" s="2"/>
      <c r="X116" s="2"/>
    </row>
    <row r="117" spans="2:24" s="47" customFormat="1"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06"/>
      <c r="O117" s="62"/>
      <c r="P117" s="37"/>
      <c r="Q117" s="62"/>
      <c r="R117" s="16"/>
      <c r="S117" s="2"/>
      <c r="T117" s="2"/>
      <c r="U117" s="2"/>
      <c r="V117" s="2"/>
      <c r="W117" s="2"/>
      <c r="X117" s="2"/>
    </row>
    <row r="118" spans="2:24" s="47" customFormat="1">
      <c r="B118" s="135" t="s">
        <v>65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14">
        <f ca="1">N110-(N114*(1-N116))</f>
        <v>105070.09515501275</v>
      </c>
      <c r="O118" s="114"/>
      <c r="P118" s="127"/>
      <c r="Q118" s="44" t="s">
        <v>72</v>
      </c>
      <c r="R118" s="120">
        <f>R110-(R114*(1-R116))</f>
        <v>200562.01365671284</v>
      </c>
      <c r="S118" s="2"/>
      <c r="T118" s="2"/>
      <c r="U118" s="2"/>
      <c r="V118" s="2"/>
      <c r="W118" s="2"/>
      <c r="X118" s="2"/>
    </row>
    <row r="119" spans="2:24" s="47" customFormat="1">
      <c r="B119" s="135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14"/>
      <c r="O119" s="114"/>
      <c r="P119" s="127"/>
      <c r="Q119" s="45" t="s">
        <v>13</v>
      </c>
      <c r="R119" s="136">
        <f>R111-(R114*(1-R116))</f>
        <v>210299.01365671284</v>
      </c>
      <c r="S119" s="2"/>
      <c r="T119" s="2"/>
      <c r="U119" s="2"/>
      <c r="V119" s="2"/>
      <c r="W119" s="2"/>
      <c r="X119" s="2"/>
    </row>
    <row r="120" spans="2:24" s="47" customFormat="1">
      <c r="B120" s="135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14"/>
      <c r="O120" s="114"/>
      <c r="P120" s="127"/>
      <c r="Q120" s="46" t="s">
        <v>21</v>
      </c>
      <c r="R120" s="137">
        <f>R112-(R114*(1-R116))</f>
        <v>280511.01365671284</v>
      </c>
      <c r="S120" s="2"/>
      <c r="T120" s="2"/>
      <c r="U120" s="2"/>
      <c r="V120" s="2"/>
      <c r="W120" s="2"/>
      <c r="X120" s="2"/>
    </row>
    <row r="121" spans="2:24" s="47" customFormat="1"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106"/>
      <c r="O121" s="106"/>
      <c r="P121" s="128"/>
      <c r="Q121" s="106"/>
      <c r="R121" s="123"/>
      <c r="S121" s="2"/>
      <c r="T121" s="2"/>
      <c r="U121" s="2"/>
      <c r="V121" s="2"/>
      <c r="W121" s="2"/>
      <c r="X121" s="2"/>
    </row>
    <row r="122" spans="2:24" s="47" customFormat="1">
      <c r="B122" s="135" t="s">
        <v>84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14">
        <f>E9</f>
        <v>24555</v>
      </c>
      <c r="O122" s="114"/>
      <c r="P122" s="127"/>
      <c r="Q122" s="114"/>
      <c r="R122" s="124">
        <f>R102</f>
        <v>24804</v>
      </c>
      <c r="S122" s="2"/>
      <c r="T122" s="2"/>
      <c r="U122" s="2"/>
      <c r="V122" s="2"/>
      <c r="W122" s="2"/>
      <c r="X122" s="2"/>
    </row>
    <row r="123" spans="2:24" s="47" customFormat="1">
      <c r="B123" s="7"/>
      <c r="C123" s="2"/>
      <c r="D123" s="2"/>
      <c r="E123" s="2"/>
      <c r="F123" s="2"/>
      <c r="G123" s="2"/>
      <c r="H123" s="2"/>
      <c r="I123" s="7"/>
      <c r="J123" s="7">
        <v>2021</v>
      </c>
      <c r="K123" s="7">
        <v>2022</v>
      </c>
      <c r="L123" s="7">
        <v>2023</v>
      </c>
      <c r="M123" s="7">
        <v>2024</v>
      </c>
      <c r="N123" s="100">
        <f>N60</f>
        <v>2025</v>
      </c>
      <c r="O123" s="106"/>
      <c r="P123" s="128"/>
      <c r="Q123" s="106"/>
      <c r="R123" s="123"/>
      <c r="S123" s="2"/>
      <c r="T123" s="2"/>
      <c r="U123" s="2"/>
      <c r="V123" s="2"/>
      <c r="W123" s="2"/>
      <c r="X123" s="2"/>
    </row>
    <row r="124" spans="2:24" s="47" customFormat="1">
      <c r="B124" s="135" t="s">
        <v>66</v>
      </c>
      <c r="C124" s="17"/>
      <c r="D124" s="17"/>
      <c r="E124" s="17"/>
      <c r="F124" s="135"/>
      <c r="G124" s="135"/>
      <c r="H124" s="19"/>
      <c r="I124" s="19" t="s">
        <v>103</v>
      </c>
      <c r="J124" s="135">
        <f>IS!V28</f>
        <v>0.39</v>
      </c>
      <c r="K124" s="135">
        <f>IS!W28</f>
        <v>0.18</v>
      </c>
      <c r="L124" s="135">
        <f>IS!X28</f>
        <v>1.21</v>
      </c>
      <c r="M124" s="135">
        <f>IS!Y28</f>
        <v>2.97</v>
      </c>
      <c r="N124" s="108">
        <f ca="1">N118/N122</f>
        <v>4.2789694626354207</v>
      </c>
      <c r="O124" s="108"/>
      <c r="P124" s="129"/>
      <c r="Q124" s="44" t="s">
        <v>72</v>
      </c>
      <c r="R124" s="131">
        <f>R118/R122</f>
        <v>8.0858737968357062</v>
      </c>
      <c r="S124" s="2"/>
      <c r="T124" s="2"/>
      <c r="U124" s="2"/>
      <c r="V124" s="2"/>
      <c r="W124" s="2"/>
      <c r="X124" s="2"/>
    </row>
    <row r="125" spans="2:24" s="47" customFormat="1">
      <c r="B125" s="135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08"/>
      <c r="O125" s="108"/>
      <c r="P125" s="129"/>
      <c r="Q125" s="45" t="s">
        <v>13</v>
      </c>
      <c r="R125" s="132">
        <f>R119/R122</f>
        <v>8.4784314488273189</v>
      </c>
      <c r="S125" s="2"/>
      <c r="T125" s="2"/>
      <c r="U125" s="2"/>
      <c r="V125" s="2"/>
      <c r="W125" s="2"/>
      <c r="X125" s="2"/>
    </row>
    <row r="126" spans="2:24" s="47" customFormat="1">
      <c r="B126" s="135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08"/>
      <c r="O126" s="108"/>
      <c r="P126" s="129"/>
      <c r="Q126" s="46" t="s">
        <v>21</v>
      </c>
      <c r="R126" s="133">
        <f>R120/R122</f>
        <v>11.309103921009227</v>
      </c>
      <c r="S126" s="2"/>
      <c r="T126" s="2"/>
      <c r="U126" s="2"/>
      <c r="V126" s="2"/>
      <c r="W126" s="2"/>
      <c r="X126" s="2"/>
    </row>
    <row r="127" spans="2:24" s="47" customFormat="1"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7">
        <v>2023</v>
      </c>
      <c r="M127" s="7">
        <v>2024</v>
      </c>
      <c r="N127" s="107"/>
      <c r="O127" s="107"/>
      <c r="P127" s="130"/>
      <c r="Q127" s="107"/>
      <c r="R127" s="125"/>
      <c r="S127" s="2"/>
      <c r="T127" s="2"/>
      <c r="U127" s="2"/>
      <c r="V127" s="2"/>
      <c r="W127" s="2"/>
      <c r="X127" s="2"/>
    </row>
    <row r="128" spans="2:24" s="47" customFormat="1">
      <c r="B128" s="135" t="s">
        <v>85</v>
      </c>
      <c r="C128" s="17"/>
      <c r="D128" s="17"/>
      <c r="E128" s="17"/>
      <c r="F128" s="17"/>
      <c r="G128" s="17"/>
      <c r="H128" s="17"/>
      <c r="I128" s="17"/>
      <c r="J128" s="17"/>
      <c r="K128" s="19" t="s">
        <v>103</v>
      </c>
      <c r="L128" s="109">
        <v>49.5</v>
      </c>
      <c r="M128" s="135">
        <v>144.4</v>
      </c>
      <c r="N128" s="147">
        <f>E8</f>
        <v>142.29</v>
      </c>
      <c r="O128" s="108"/>
      <c r="P128" s="129"/>
      <c r="Q128" s="108"/>
      <c r="R128" s="115"/>
      <c r="S128" s="2"/>
      <c r="T128" s="2"/>
      <c r="U128" s="2"/>
      <c r="V128" s="2"/>
      <c r="W128" s="2"/>
      <c r="X128" s="2"/>
    </row>
    <row r="129" spans="2:24" s="47" customFormat="1">
      <c r="B129" s="7"/>
      <c r="C129" s="2"/>
      <c r="D129" s="2"/>
      <c r="E129" s="2"/>
      <c r="F129" s="2"/>
      <c r="G129" s="2"/>
      <c r="H129" s="2"/>
      <c r="I129" s="2"/>
      <c r="J129" s="2"/>
      <c r="K129" s="7"/>
      <c r="L129" s="62"/>
      <c r="M129" s="7"/>
      <c r="N129" s="107"/>
      <c r="O129" s="107"/>
      <c r="P129" s="130"/>
      <c r="Q129" s="107"/>
      <c r="R129" s="125"/>
      <c r="S129" s="2"/>
      <c r="T129" s="2"/>
      <c r="U129" s="2"/>
      <c r="V129" s="2"/>
      <c r="W129" s="2"/>
      <c r="X129" s="2"/>
    </row>
    <row r="130" spans="2:24" s="47" customFormat="1">
      <c r="B130" s="135" t="s">
        <v>87</v>
      </c>
      <c r="C130" s="17"/>
      <c r="D130" s="17"/>
      <c r="E130" s="17"/>
      <c r="F130" s="17"/>
      <c r="G130" s="17"/>
      <c r="H130" s="17"/>
      <c r="I130" s="17"/>
      <c r="J130" s="17"/>
      <c r="K130" s="135"/>
      <c r="L130" s="109"/>
      <c r="M130" s="135"/>
      <c r="N130" s="108"/>
      <c r="O130" s="108">
        <f ca="1">AVERAGE(H124:N124)</f>
        <v>1.805793892527084</v>
      </c>
      <c r="P130" s="129"/>
      <c r="Q130" s="108"/>
      <c r="R130" s="115"/>
      <c r="S130" s="2"/>
      <c r="T130" s="2"/>
      <c r="U130" s="2"/>
      <c r="V130" s="2"/>
      <c r="W130" s="2"/>
      <c r="X130" s="2"/>
    </row>
    <row r="131" spans="2:24" s="47" customFormat="1">
      <c r="B131" s="135" t="s">
        <v>88</v>
      </c>
      <c r="C131" s="17"/>
      <c r="D131" s="17"/>
      <c r="E131" s="17"/>
      <c r="F131" s="17"/>
      <c r="G131" s="17"/>
      <c r="H131" s="17"/>
      <c r="I131" s="17"/>
      <c r="J131" s="17"/>
      <c r="K131" s="135"/>
      <c r="L131" s="109"/>
      <c r="M131" s="135"/>
      <c r="N131" s="108"/>
      <c r="O131" s="108">
        <f>AVERAGE(L128:N128)</f>
        <v>112.06333333333333</v>
      </c>
      <c r="P131" s="129"/>
      <c r="Q131" s="108"/>
      <c r="R131" s="115"/>
      <c r="S131" s="2"/>
      <c r="T131" s="2"/>
      <c r="U131" s="2"/>
      <c r="V131" s="2"/>
      <c r="W131" s="2"/>
      <c r="X131" s="2"/>
    </row>
    <row r="132" spans="2:24" s="47" customFormat="1">
      <c r="B132" s="7"/>
      <c r="C132" s="2"/>
      <c r="D132" s="2"/>
      <c r="E132" s="2"/>
      <c r="F132" s="2"/>
      <c r="G132" s="2"/>
      <c r="H132" s="2"/>
      <c r="I132" s="2"/>
      <c r="J132" s="2"/>
      <c r="K132" s="7"/>
      <c r="L132" s="62"/>
      <c r="M132" s="7"/>
      <c r="N132" s="107"/>
      <c r="O132" s="107"/>
      <c r="P132" s="130"/>
      <c r="Q132" s="107"/>
      <c r="R132" s="125"/>
      <c r="S132" s="2"/>
      <c r="T132" s="2"/>
      <c r="U132" s="2"/>
      <c r="V132" s="2"/>
      <c r="W132" s="2"/>
      <c r="X132" s="2"/>
    </row>
    <row r="133" spans="2:24" s="47" customFormat="1">
      <c r="B133" s="135" t="s">
        <v>90</v>
      </c>
      <c r="C133" s="135"/>
      <c r="D133" s="109">
        <v>1.25</v>
      </c>
      <c r="E133" s="135"/>
      <c r="F133" s="17"/>
      <c r="G133" s="17"/>
      <c r="H133" s="17"/>
      <c r="I133" s="17"/>
      <c r="J133" s="17"/>
      <c r="K133" s="135"/>
      <c r="L133" s="109"/>
      <c r="M133" s="135"/>
      <c r="N133" s="108"/>
      <c r="O133" s="108">
        <f ca="1">O130*D133</f>
        <v>2.2572423656588549</v>
      </c>
      <c r="P133" s="129"/>
      <c r="Q133" s="108"/>
      <c r="R133" s="115"/>
      <c r="S133" s="2"/>
      <c r="T133" s="2"/>
      <c r="U133" s="2"/>
      <c r="V133" s="2"/>
      <c r="W133" s="2"/>
      <c r="X133" s="2"/>
    </row>
    <row r="134" spans="2:24" s="47" customFormat="1">
      <c r="B134" s="135" t="s">
        <v>91</v>
      </c>
      <c r="C134" s="135"/>
      <c r="D134" s="109">
        <v>0.75</v>
      </c>
      <c r="E134" s="135"/>
      <c r="F134" s="17"/>
      <c r="G134" s="17"/>
      <c r="H134" s="17"/>
      <c r="I134" s="17"/>
      <c r="J134" s="17"/>
      <c r="K134" s="135"/>
      <c r="L134" s="109"/>
      <c r="M134" s="135"/>
      <c r="N134" s="108"/>
      <c r="O134" s="108">
        <f>O131*D134</f>
        <v>84.047499999999999</v>
      </c>
      <c r="P134" s="129"/>
      <c r="Q134" s="108"/>
      <c r="R134" s="115"/>
      <c r="S134" s="2"/>
      <c r="T134" s="2"/>
      <c r="U134" s="2"/>
      <c r="V134" s="2"/>
      <c r="W134" s="2"/>
      <c r="X134" s="2"/>
    </row>
    <row r="135" spans="2:24" s="47" customFormat="1"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107"/>
      <c r="O135" s="107"/>
      <c r="P135" s="130"/>
      <c r="Q135" s="107"/>
      <c r="R135" s="125"/>
      <c r="S135" s="2"/>
      <c r="T135" s="2"/>
      <c r="U135" s="2"/>
      <c r="V135" s="2"/>
      <c r="W135" s="2"/>
      <c r="X135" s="2"/>
    </row>
    <row r="136" spans="2:24" s="47" customFormat="1">
      <c r="B136" s="135" t="s">
        <v>86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15"/>
      <c r="O136" s="135"/>
      <c r="P136" s="134"/>
      <c r="Q136" s="44" t="s">
        <v>72</v>
      </c>
      <c r="R136" s="138">
        <f ca="1">R124/O133</f>
        <v>3.5821912258303561</v>
      </c>
      <c r="S136" s="2"/>
      <c r="T136" s="2"/>
      <c r="U136" s="2"/>
      <c r="V136" s="2"/>
      <c r="W136" s="2"/>
      <c r="X136" s="2"/>
    </row>
    <row r="137" spans="2:24" s="47" customFormat="1">
      <c r="B137" s="115"/>
      <c r="C137" s="17"/>
      <c r="D137" s="110"/>
      <c r="E137" s="17"/>
      <c r="F137" s="17"/>
      <c r="G137" s="17"/>
      <c r="H137" s="17"/>
      <c r="I137" s="17"/>
      <c r="J137" s="17"/>
      <c r="K137" s="17"/>
      <c r="L137" s="17"/>
      <c r="M137" s="17"/>
      <c r="N137" s="115"/>
      <c r="O137" s="135"/>
      <c r="P137" s="134"/>
      <c r="Q137" s="45" t="s">
        <v>13</v>
      </c>
      <c r="R137" s="139">
        <f ca="1">R125/O133</f>
        <v>3.756101505897703</v>
      </c>
      <c r="S137" s="2"/>
      <c r="T137" s="2"/>
      <c r="U137" s="2"/>
      <c r="V137" s="2"/>
      <c r="W137" s="2"/>
      <c r="X137" s="2"/>
    </row>
    <row r="138" spans="2:24" s="47" customFormat="1">
      <c r="B138" s="135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15"/>
      <c r="O138" s="135"/>
      <c r="P138" s="134"/>
      <c r="Q138" s="46" t="s">
        <v>21</v>
      </c>
      <c r="R138" s="140">
        <f ca="1">R126/O133</f>
        <v>5.0101416192887509</v>
      </c>
      <c r="S138" s="2"/>
      <c r="T138" s="2"/>
      <c r="U138" s="2"/>
      <c r="V138" s="2"/>
      <c r="W138" s="2"/>
      <c r="X138" s="2"/>
    </row>
    <row r="139" spans="2:24" s="47" customFormat="1"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41"/>
      <c r="O139" s="7"/>
      <c r="P139" s="118"/>
      <c r="Q139" s="62"/>
      <c r="R139" s="16"/>
      <c r="S139" s="2"/>
      <c r="T139" s="2"/>
      <c r="U139" s="2"/>
      <c r="V139" s="2"/>
      <c r="W139" s="2"/>
      <c r="X139" s="2"/>
    </row>
    <row r="140" spans="2:24" s="47" customFormat="1">
      <c r="B140" s="135" t="s">
        <v>76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15"/>
      <c r="O140" s="135"/>
      <c r="P140" s="134"/>
      <c r="Q140" s="44" t="s">
        <v>72</v>
      </c>
      <c r="R140" s="131">
        <f ca="1">R136*O134</f>
        <v>301.07421705297685</v>
      </c>
      <c r="S140" s="2"/>
      <c r="T140" s="2"/>
      <c r="U140" s="2"/>
      <c r="V140" s="2"/>
      <c r="W140" s="2"/>
      <c r="X140" s="2"/>
    </row>
    <row r="141" spans="2:24" s="47" customFormat="1">
      <c r="B141" s="115"/>
      <c r="C141" s="17"/>
      <c r="D141" s="110"/>
      <c r="E141" s="17"/>
      <c r="F141" s="17"/>
      <c r="G141" s="17"/>
      <c r="H141" s="17"/>
      <c r="I141" s="17"/>
      <c r="J141" s="17"/>
      <c r="K141" s="17"/>
      <c r="L141" s="17"/>
      <c r="M141" s="17"/>
      <c r="N141" s="115"/>
      <c r="O141" s="135"/>
      <c r="P141" s="134"/>
      <c r="Q141" s="45" t="s">
        <v>13</v>
      </c>
      <c r="R141" s="132">
        <f ca="1">R137*O134</f>
        <v>315.6909413169372</v>
      </c>
      <c r="S141" s="2"/>
      <c r="T141" s="2"/>
      <c r="U141" s="2"/>
      <c r="V141" s="2"/>
      <c r="W141" s="2"/>
      <c r="X141" s="2"/>
    </row>
    <row r="142" spans="2:24" s="47" customFormat="1">
      <c r="B142" s="135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15"/>
      <c r="O142" s="135"/>
      <c r="P142" s="134"/>
      <c r="Q142" s="46" t="s">
        <v>21</v>
      </c>
      <c r="R142" s="133">
        <f ca="1">R138*O134</f>
        <v>421.08987774717127</v>
      </c>
      <c r="S142" s="2"/>
      <c r="T142" s="2"/>
      <c r="U142" s="2"/>
      <c r="V142" s="2"/>
      <c r="W142" s="2"/>
      <c r="X142" s="2"/>
    </row>
    <row r="143" spans="2:24" s="47" customForma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2:24" s="47" customFormat="1"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2:24" s="47" customForma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2:24" s="47" customForma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2:24" s="47" customForma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2:24" s="47" customFormat="1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2:24" s="47" customFormat="1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2:24" s="47" customFormat="1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2:24" s="47" customFormat="1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2:24" s="47" customFormat="1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2:24" s="47" customFormat="1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2:24" s="47" customFormat="1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2:24" s="47" customFormat="1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2:24" s="47" customFormat="1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2:24" s="47" customFormat="1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2:24" s="47" customFormat="1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2:24" s="47" customFormat="1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2:24" s="47" customFormat="1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2:24" s="47" customFormat="1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2:24" s="47" customFormat="1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2:24" s="47" customFormat="1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2:24" s="47" customFormat="1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2:24" s="47" customFormat="1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2:24" s="47" customFormat="1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2:24" s="47" customFormat="1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2:24" s="47" customFormat="1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2:24" s="47" customFormat="1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2:24" s="47" customFormat="1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2:24" s="47" customFormat="1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2:24" s="47" customFormat="1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2:24" s="47" customFormat="1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2:24" s="47" customForma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2:24" s="47" customForma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2:24" s="47" customForma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2:24" s="47" customForma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2:24" s="47" customForma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2:24" s="47" customForma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2:24" s="47" customForma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2:24" s="47" customForma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2:24" s="47" customForma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2:24" s="47" customForma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2:24" s="47" customForma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2:24" s="47" customForma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2:24" s="47" customForma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2:24" s="47" customForma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2:24" s="47" customForma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2:24" s="47" customForma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2:24" s="47" customForma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2:24" s="47" customForma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2:24" s="47" customForma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2:24" s="47" customForma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2:24" s="47" customForma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2:24" s="47" customForma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2:24" s="47" customForma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2:24" s="47" customForma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2:24" s="47" customForma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2:24" s="47" customForma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2:24" s="47" customForma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2:24" s="9" customFormat="1"/>
    <row r="202" spans="2:24" s="9" customFormat="1"/>
    <row r="203" spans="2:24" s="9" customFormat="1"/>
    <row r="204" spans="2:24" s="9" customFormat="1"/>
    <row r="205" spans="2:24" s="9" customFormat="1"/>
    <row r="206" spans="2:24" s="9" customFormat="1"/>
    <row r="207" spans="2:24" s="9" customFormat="1"/>
    <row r="208" spans="2:24" s="9" customFormat="1"/>
    <row r="209" s="9" customFormat="1"/>
    <row r="210" s="9" customFormat="1"/>
    <row r="211" s="9" customFormat="1"/>
    <row r="212" s="9" customFormat="1"/>
    <row r="213" s="9" customFormat="1"/>
    <row r="214" s="9" customFormat="1"/>
    <row r="215" s="9" customFormat="1"/>
    <row r="216" s="9" customFormat="1"/>
    <row r="217" s="9" customFormat="1"/>
    <row r="218" s="9" customFormat="1"/>
    <row r="219" s="9" customFormat="1"/>
    <row r="220" s="9" customFormat="1"/>
    <row r="221" s="9" customFormat="1"/>
    <row r="222" s="9" customFormat="1"/>
    <row r="223" s="9" customFormat="1"/>
    <row r="224" s="9" customFormat="1"/>
    <row r="225" s="9" customFormat="1"/>
    <row r="226" s="9" customFormat="1"/>
    <row r="227" s="9" customFormat="1"/>
    <row r="228" s="9" customFormat="1"/>
    <row r="229" s="9" customFormat="1"/>
    <row r="230" s="9" customFormat="1"/>
    <row r="231" s="9" customFormat="1"/>
    <row r="232" s="9" customFormat="1"/>
    <row r="233" s="9" customFormat="1"/>
    <row r="234" s="9" customFormat="1"/>
    <row r="235" s="9" customFormat="1"/>
    <row r="236" s="9" customFormat="1"/>
    <row r="237" s="9" customFormat="1"/>
    <row r="238" s="9" customFormat="1"/>
    <row r="239" s="9" customFormat="1"/>
    <row r="240" s="9" customFormat="1"/>
    <row r="241" s="9" customFormat="1"/>
    <row r="242" s="9" customFormat="1"/>
    <row r="243" s="9" customFormat="1"/>
    <row r="244" s="9" customFormat="1"/>
    <row r="245" s="9" customFormat="1"/>
    <row r="246" s="9" customFormat="1"/>
    <row r="247" s="9" customFormat="1"/>
    <row r="248" s="9" customFormat="1"/>
    <row r="249" s="9" customFormat="1"/>
    <row r="250" s="9" customFormat="1"/>
    <row r="251" s="9" customFormat="1"/>
    <row r="252" s="9" customFormat="1"/>
    <row r="253" s="9" customFormat="1"/>
    <row r="254" s="9" customFormat="1"/>
    <row r="255" s="9" customFormat="1"/>
    <row r="256" s="9" customFormat="1"/>
    <row r="257" s="9" customFormat="1"/>
    <row r="258" s="9" customFormat="1"/>
    <row r="259" s="9" customFormat="1"/>
    <row r="260" s="9" customFormat="1"/>
    <row r="261" s="9" customFormat="1"/>
    <row r="262" s="9" customFormat="1"/>
    <row r="263" s="9" customFormat="1"/>
    <row r="264" s="9" customFormat="1"/>
    <row r="265" s="9" customFormat="1"/>
    <row r="266" s="9" customFormat="1"/>
    <row r="267" s="9" customFormat="1"/>
    <row r="268" s="9" customFormat="1"/>
    <row r="269" s="9" customFormat="1"/>
    <row r="270" s="9" customFormat="1"/>
    <row r="271" s="9" customFormat="1"/>
    <row r="272" s="9" customFormat="1"/>
    <row r="273" s="9" customFormat="1"/>
    <row r="274" s="9" customFormat="1"/>
    <row r="275" s="9" customFormat="1"/>
    <row r="276" s="9" customFormat="1"/>
    <row r="277" s="9" customFormat="1"/>
    <row r="278" s="9" customFormat="1"/>
    <row r="279" s="9" customFormat="1"/>
    <row r="280" s="9" customFormat="1"/>
    <row r="281" s="9" customFormat="1"/>
    <row r="282" s="9" customFormat="1"/>
    <row r="283" s="9" customFormat="1"/>
    <row r="284" s="9" customFormat="1"/>
    <row r="285" s="9" customFormat="1"/>
    <row r="286" s="9" customFormat="1"/>
    <row r="287" s="9" customFormat="1"/>
    <row r="288" s="9" customFormat="1"/>
    <row r="289" s="9" customFormat="1"/>
    <row r="290" s="9" customFormat="1"/>
    <row r="291" s="9" customFormat="1"/>
    <row r="292" s="9" customFormat="1"/>
    <row r="293" s="9" customFormat="1"/>
    <row r="294" s="9" customFormat="1"/>
    <row r="295" s="9" customFormat="1"/>
    <row r="296" s="9" customFormat="1"/>
    <row r="297" s="9" customFormat="1"/>
    <row r="298" s="9" customFormat="1"/>
    <row r="299" s="9" customFormat="1"/>
    <row r="300" s="9" customFormat="1"/>
    <row r="301" s="9" customFormat="1"/>
    <row r="302" s="9" customFormat="1"/>
    <row r="303" s="9" customFormat="1"/>
    <row r="304" s="9" customFormat="1"/>
    <row r="305" s="9" customFormat="1"/>
    <row r="306" s="9" customFormat="1"/>
    <row r="307" s="9" customFormat="1"/>
    <row r="308" s="9" customFormat="1"/>
    <row r="309" s="9" customFormat="1"/>
    <row r="310" s="9" customFormat="1"/>
    <row r="311" s="9" customFormat="1"/>
    <row r="312" s="9" customFormat="1"/>
    <row r="313" s="9" customFormat="1"/>
    <row r="314" s="9" customFormat="1"/>
    <row r="315" s="9" customFormat="1"/>
    <row r="316" s="9" customFormat="1"/>
    <row r="317" s="9" customFormat="1"/>
    <row r="318" s="9" customFormat="1"/>
    <row r="319" s="9" customFormat="1"/>
    <row r="320" s="9" customFormat="1"/>
    <row r="321" s="9" customFormat="1"/>
    <row r="322" s="9" customFormat="1"/>
    <row r="323" s="9" customFormat="1"/>
    <row r="324" s="9" customFormat="1"/>
    <row r="325" s="9" customFormat="1"/>
    <row r="326" s="9" customFormat="1"/>
    <row r="327" s="9" customFormat="1"/>
    <row r="328" s="9" customFormat="1"/>
    <row r="329" s="9" customFormat="1"/>
    <row r="330" s="9" customFormat="1"/>
    <row r="331" s="9" customFormat="1"/>
    <row r="332" s="9" customFormat="1"/>
    <row r="333" s="9" customFormat="1"/>
    <row r="334" s="9" customFormat="1"/>
    <row r="335" s="9" customFormat="1"/>
    <row r="336" s="9" customFormat="1"/>
    <row r="337" s="9" customFormat="1"/>
    <row r="338" s="9" customFormat="1"/>
    <row r="339" s="9" customFormat="1"/>
    <row r="340" s="9" customFormat="1"/>
    <row r="341" s="9" customFormat="1"/>
    <row r="342" s="9" customFormat="1"/>
    <row r="343" s="9" customFormat="1"/>
    <row r="344" s="9" customFormat="1"/>
    <row r="345" s="9" customFormat="1"/>
    <row r="346" s="9" customFormat="1"/>
    <row r="347" s="9" customFormat="1"/>
    <row r="348" s="9" customFormat="1"/>
    <row r="349" s="9" customFormat="1"/>
    <row r="350" s="9" customFormat="1"/>
    <row r="351" s="9" customFormat="1"/>
    <row r="352" s="9" customFormat="1"/>
    <row r="353" s="9" customFormat="1"/>
    <row r="354" s="9" customFormat="1"/>
    <row r="355" s="9" customFormat="1"/>
    <row r="356" s="9" customFormat="1"/>
    <row r="357" s="9" customFormat="1"/>
    <row r="358" s="9" customFormat="1"/>
    <row r="359" s="9" customFormat="1"/>
    <row r="360" s="9" customFormat="1"/>
    <row r="361" s="9" customFormat="1"/>
    <row r="362" s="9" customFormat="1"/>
    <row r="363" s="9" customFormat="1"/>
    <row r="364" s="9" customFormat="1"/>
    <row r="365" s="9" customFormat="1"/>
    <row r="366" s="9" customFormat="1"/>
    <row r="367" s="9" customFormat="1"/>
    <row r="368" s="9" customFormat="1"/>
    <row r="369" s="9" customFormat="1"/>
    <row r="370" s="9" customFormat="1"/>
    <row r="371" s="9" customFormat="1"/>
    <row r="372" s="9" customFormat="1"/>
    <row r="373" s="9" customFormat="1"/>
    <row r="374" s="9" customFormat="1"/>
    <row r="375" s="9" customFormat="1"/>
    <row r="376" s="9" customFormat="1"/>
    <row r="377" s="9" customFormat="1"/>
    <row r="378" s="9" customFormat="1"/>
    <row r="379" s="9" customFormat="1"/>
    <row r="380" s="9" customFormat="1"/>
    <row r="381" s="9" customFormat="1"/>
    <row r="382" s="9" customFormat="1"/>
    <row r="383" s="9" customFormat="1"/>
    <row r="384" s="9" customFormat="1"/>
    <row r="385" s="9" customFormat="1"/>
    <row r="386" s="9" customFormat="1"/>
    <row r="387" s="9" customFormat="1"/>
    <row r="388" s="9" customFormat="1"/>
    <row r="389" s="9" customFormat="1"/>
    <row r="390" s="9" customFormat="1"/>
    <row r="391" s="9" customFormat="1"/>
    <row r="392" s="9" customFormat="1"/>
    <row r="393" s="9" customFormat="1"/>
    <row r="394" s="9" customFormat="1"/>
    <row r="395" s="9" customFormat="1"/>
    <row r="396" s="9" customFormat="1"/>
    <row r="397" s="9" customFormat="1"/>
    <row r="398" s="9" customFormat="1"/>
    <row r="399" s="9" customFormat="1"/>
    <row r="400" s="9" customFormat="1"/>
    <row r="401" s="9" customFormat="1"/>
    <row r="402" s="9" customFormat="1"/>
    <row r="403" s="9" customFormat="1"/>
    <row r="404" s="9" customFormat="1"/>
    <row r="405" s="9" customFormat="1"/>
    <row r="406" s="9" customFormat="1"/>
    <row r="407" s="9" customFormat="1"/>
    <row r="408" s="9" customFormat="1"/>
    <row r="409" s="9" customFormat="1"/>
    <row r="410" s="9" customFormat="1"/>
    <row r="411" s="9" customFormat="1"/>
    <row r="412" s="9" customFormat="1"/>
    <row r="413" s="9" customFormat="1"/>
    <row r="414" s="9" customFormat="1"/>
    <row r="415" s="9" customFormat="1"/>
    <row r="416" s="9" customFormat="1"/>
    <row r="417" s="9" customFormat="1"/>
    <row r="418" s="9" customFormat="1"/>
    <row r="419" s="9" customFormat="1"/>
    <row r="420" s="9" customFormat="1"/>
    <row r="421" s="9" customFormat="1"/>
    <row r="422" s="9" customFormat="1"/>
    <row r="423" s="9" customFormat="1"/>
    <row r="424" s="9" customFormat="1"/>
    <row r="425" s="9" customFormat="1"/>
    <row r="426" s="9" customFormat="1"/>
    <row r="427" s="9" customFormat="1"/>
    <row r="428" s="9" customFormat="1"/>
    <row r="429" s="9" customFormat="1"/>
    <row r="430" s="9" customFormat="1"/>
    <row r="431" s="9" customFormat="1"/>
    <row r="432" s="9" customFormat="1"/>
    <row r="433" s="9" customFormat="1"/>
    <row r="434" s="9" customFormat="1"/>
    <row r="435" s="9" customFormat="1"/>
    <row r="436" s="9" customFormat="1"/>
    <row r="437" s="9" customFormat="1"/>
    <row r="438" s="9" customFormat="1"/>
    <row r="439" s="9" customFormat="1"/>
    <row r="440" s="9" customFormat="1"/>
    <row r="441" s="9" customFormat="1"/>
    <row r="442" s="9" customFormat="1"/>
    <row r="443" s="9" customFormat="1"/>
    <row r="444" s="9" customFormat="1"/>
    <row r="445" s="9" customFormat="1"/>
    <row r="446" s="9" customFormat="1"/>
    <row r="447" s="9" customFormat="1"/>
    <row r="448" s="9" customFormat="1"/>
    <row r="449" s="9" customFormat="1"/>
    <row r="450" s="9" customFormat="1"/>
    <row r="451" s="9" customFormat="1"/>
    <row r="452" s="9" customFormat="1"/>
    <row r="453" s="9" customFormat="1"/>
    <row r="454" s="9" customFormat="1"/>
    <row r="455" s="9" customFormat="1"/>
    <row r="456" s="9" customFormat="1"/>
    <row r="457" s="9" customFormat="1"/>
    <row r="458" s="9" customFormat="1"/>
    <row r="459" s="9" customFormat="1"/>
    <row r="460" s="9" customFormat="1"/>
    <row r="461" s="9" customFormat="1"/>
    <row r="462" s="9" customFormat="1"/>
    <row r="463" s="9" customFormat="1"/>
    <row r="464" s="9" customFormat="1"/>
    <row r="465" s="9" customFormat="1"/>
    <row r="466" s="9" customFormat="1"/>
    <row r="467" s="9" customFormat="1"/>
    <row r="468" s="9" customFormat="1"/>
    <row r="469" s="9" customFormat="1"/>
    <row r="470" s="9" customFormat="1"/>
    <row r="471" s="9" customFormat="1"/>
    <row r="472" s="9" customFormat="1"/>
    <row r="473" s="9" customFormat="1"/>
    <row r="474" s="9" customFormat="1"/>
    <row r="475" s="9" customFormat="1"/>
    <row r="476" s="9" customFormat="1"/>
    <row r="477" s="9" customFormat="1"/>
    <row r="478" s="9" customFormat="1"/>
    <row r="479" s="9" customFormat="1"/>
    <row r="480" s="9" customFormat="1"/>
    <row r="481" s="9" customFormat="1"/>
    <row r="482" s="9" customFormat="1"/>
    <row r="483" s="9" customFormat="1"/>
    <row r="484" s="9" customFormat="1"/>
    <row r="485" s="9" customFormat="1"/>
    <row r="486" s="9" customFormat="1"/>
    <row r="487" s="9" customFormat="1"/>
    <row r="488" s="9" customFormat="1"/>
    <row r="489" s="9" customFormat="1"/>
    <row r="490" s="9" customFormat="1"/>
    <row r="491" s="9" customFormat="1"/>
    <row r="492" s="9" customFormat="1"/>
    <row r="493" s="9" customFormat="1"/>
    <row r="494" s="9" customFormat="1"/>
    <row r="495" s="9" customFormat="1"/>
    <row r="496" s="9" customFormat="1"/>
    <row r="497" s="9" customFormat="1"/>
    <row r="498" s="9" customFormat="1"/>
    <row r="499" s="9" customFormat="1"/>
    <row r="500" s="9" customFormat="1"/>
    <row r="501" s="9" customFormat="1"/>
    <row r="502" s="9" customFormat="1"/>
    <row r="503" s="9" customFormat="1"/>
    <row r="504" s="9" customFormat="1"/>
    <row r="505" s="9" customFormat="1"/>
    <row r="506" s="9" customFormat="1"/>
    <row r="507" s="9" customFormat="1"/>
    <row r="508" s="9" customFormat="1"/>
    <row r="509" s="9" customFormat="1"/>
    <row r="510" s="9" customFormat="1"/>
    <row r="511" s="9" customFormat="1"/>
    <row r="512" s="9" customFormat="1"/>
    <row r="513" s="9" customFormat="1"/>
    <row r="514" s="9" customFormat="1"/>
    <row r="515" s="9" customFormat="1"/>
    <row r="516" s="9" customFormat="1"/>
    <row r="517" s="9" customFormat="1"/>
    <row r="518" s="9" customFormat="1"/>
    <row r="519" s="9" customFormat="1"/>
    <row r="520" s="9" customFormat="1"/>
    <row r="521" s="9" customFormat="1"/>
    <row r="522" s="9" customFormat="1"/>
    <row r="523" s="9" customFormat="1"/>
    <row r="524" s="9" customFormat="1"/>
    <row r="525" s="9" customFormat="1"/>
    <row r="526" s="9" customFormat="1"/>
    <row r="527" s="9" customFormat="1"/>
    <row r="528" s="9" customFormat="1"/>
    <row r="529" s="9" customFormat="1"/>
    <row r="530" s="9" customFormat="1"/>
    <row r="531" s="9" customFormat="1"/>
    <row r="532" s="9" customFormat="1"/>
    <row r="533" s="9" customFormat="1"/>
    <row r="534" s="9" customFormat="1"/>
    <row r="535" s="9" customFormat="1"/>
    <row r="536" s="9" customFormat="1"/>
    <row r="537" s="9" customFormat="1"/>
    <row r="538" s="9" customFormat="1"/>
    <row r="539" s="9" customFormat="1"/>
    <row r="540" s="9" customFormat="1"/>
    <row r="541" s="9" customFormat="1"/>
    <row r="542" s="9" customFormat="1"/>
    <row r="543" s="9" customFormat="1"/>
    <row r="544" s="9" customFormat="1"/>
    <row r="545" s="9" customFormat="1"/>
    <row r="546" s="9" customFormat="1"/>
    <row r="547" s="9" customFormat="1"/>
    <row r="548" s="9" customFormat="1"/>
    <row r="549" s="9" customFormat="1"/>
    <row r="550" s="9" customFormat="1"/>
    <row r="551" s="9" customFormat="1"/>
    <row r="552" s="9" customFormat="1"/>
    <row r="553" s="9" customFormat="1"/>
    <row r="554" s="9" customFormat="1"/>
    <row r="555" s="9" customFormat="1"/>
    <row r="556" s="9" customFormat="1"/>
    <row r="557" s="9" customFormat="1"/>
    <row r="558" s="9" customFormat="1"/>
    <row r="559" s="9" customFormat="1"/>
    <row r="560" s="9" customFormat="1"/>
    <row r="561" s="9" customFormat="1"/>
    <row r="562" s="9" customFormat="1"/>
    <row r="563" s="9" customFormat="1"/>
    <row r="564" s="9" customFormat="1"/>
    <row r="565" s="9" customFormat="1"/>
    <row r="566" s="9" customFormat="1"/>
    <row r="567" s="9" customFormat="1"/>
    <row r="568" s="9" customFormat="1"/>
    <row r="569" s="9" customFormat="1"/>
    <row r="570" s="9" customFormat="1"/>
    <row r="571" s="9" customFormat="1"/>
    <row r="572" s="9" customFormat="1"/>
    <row r="573" s="9" customFormat="1"/>
    <row r="574" s="9" customFormat="1"/>
    <row r="575" s="9" customFormat="1"/>
    <row r="576" s="9" customFormat="1"/>
    <row r="577" s="9" customFormat="1"/>
    <row r="578" s="9" customFormat="1"/>
    <row r="579" s="9" customFormat="1"/>
    <row r="580" s="9" customFormat="1"/>
    <row r="581" s="9" customFormat="1"/>
    <row r="582" s="9" customFormat="1"/>
    <row r="583" s="9" customFormat="1"/>
    <row r="584" s="9" customFormat="1"/>
    <row r="585" s="9" customFormat="1"/>
    <row r="586" s="9" customFormat="1"/>
    <row r="587" s="9" customFormat="1"/>
    <row r="588" s="9" customFormat="1"/>
    <row r="589" s="9" customFormat="1"/>
    <row r="590" s="9" customFormat="1"/>
    <row r="591" s="9" customFormat="1"/>
    <row r="592" s="9" customFormat="1"/>
    <row r="593" s="9" customFormat="1"/>
    <row r="594" s="9" customFormat="1"/>
    <row r="595" s="9" customFormat="1"/>
    <row r="596" s="9" customFormat="1"/>
    <row r="597" s="9" customFormat="1"/>
    <row r="598" s="9" customFormat="1"/>
    <row r="599" s="9" customFormat="1"/>
    <row r="600" s="9" customFormat="1"/>
    <row r="601" s="9" customFormat="1"/>
    <row r="602" s="9" customFormat="1"/>
    <row r="603" s="9" customFormat="1"/>
    <row r="604" s="9" customFormat="1"/>
    <row r="605" s="9" customFormat="1"/>
    <row r="606" s="9" customFormat="1"/>
    <row r="607" s="9" customFormat="1"/>
    <row r="608" s="9" customFormat="1"/>
    <row r="609" s="9" customFormat="1"/>
    <row r="610" s="9" customFormat="1"/>
    <row r="611" s="9" customFormat="1"/>
    <row r="612" s="9" customFormat="1"/>
    <row r="613" s="9" customFormat="1"/>
    <row r="614" s="9" customFormat="1"/>
    <row r="615" s="9" customFormat="1"/>
    <row r="616" s="9" customFormat="1"/>
    <row r="617" s="9" customFormat="1"/>
    <row r="618" s="9" customFormat="1"/>
    <row r="619" s="9" customFormat="1"/>
    <row r="620" s="9" customFormat="1"/>
    <row r="621" s="9" customFormat="1"/>
    <row r="622" s="9" customFormat="1"/>
    <row r="623" s="9" customFormat="1"/>
    <row r="624" s="9" customFormat="1"/>
    <row r="625" s="9" customFormat="1"/>
    <row r="626" s="9" customFormat="1"/>
    <row r="627" s="9" customFormat="1"/>
    <row r="628" s="9" customFormat="1"/>
    <row r="629" s="9" customFormat="1"/>
    <row r="630" s="9" customFormat="1"/>
    <row r="631" s="9" customFormat="1"/>
    <row r="632" s="9" customFormat="1"/>
    <row r="633" s="9" customFormat="1"/>
    <row r="634" s="9" customFormat="1"/>
    <row r="635" s="9" customFormat="1"/>
    <row r="636" s="9" customFormat="1"/>
    <row r="637" s="9" customFormat="1"/>
    <row r="638" s="9" customFormat="1"/>
    <row r="639" s="9" customFormat="1"/>
    <row r="640" s="9" customFormat="1"/>
    <row r="641" s="9" customFormat="1"/>
    <row r="642" s="9" customFormat="1"/>
    <row r="643" s="9" customFormat="1"/>
    <row r="644" s="9" customFormat="1"/>
    <row r="645" s="9" customFormat="1"/>
    <row r="646" s="9" customFormat="1"/>
    <row r="647" s="9" customFormat="1"/>
    <row r="648" s="9" customFormat="1"/>
    <row r="649" s="9" customFormat="1"/>
    <row r="650" s="9" customFormat="1"/>
    <row r="651" s="9" customFormat="1"/>
    <row r="652" s="9" customFormat="1"/>
    <row r="653" s="9" customFormat="1"/>
    <row r="654" s="9" customFormat="1"/>
    <row r="655" s="9" customFormat="1"/>
    <row r="656" s="9" customFormat="1"/>
    <row r="657" s="9" customFormat="1"/>
    <row r="658" s="9" customFormat="1"/>
    <row r="659" s="9" customFormat="1"/>
    <row r="660" s="9" customFormat="1"/>
    <row r="661" s="9" customFormat="1"/>
    <row r="662" s="9" customFormat="1"/>
    <row r="663" s="9" customFormat="1"/>
    <row r="664" s="9" customFormat="1"/>
    <row r="665" s="9" customFormat="1"/>
    <row r="666" s="9" customFormat="1"/>
    <row r="667" s="9" customFormat="1"/>
    <row r="668" s="9" customFormat="1"/>
    <row r="669" s="9" customFormat="1"/>
    <row r="670" s="9" customFormat="1"/>
    <row r="671" s="9" customFormat="1"/>
    <row r="672" s="9" customFormat="1"/>
    <row r="673" s="9" customFormat="1"/>
    <row r="674" s="9" customFormat="1"/>
    <row r="675" s="9" customFormat="1"/>
    <row r="676" s="9" customFormat="1"/>
    <row r="677" s="9" customFormat="1"/>
    <row r="678" s="9" customFormat="1"/>
    <row r="679" s="9" customFormat="1"/>
    <row r="680" s="9" customFormat="1"/>
    <row r="681" s="9" customFormat="1"/>
    <row r="682" s="9" customFormat="1"/>
    <row r="683" s="9" customFormat="1"/>
    <row r="684" s="9" customFormat="1"/>
    <row r="685" s="9" customFormat="1"/>
    <row r="686" s="9" customFormat="1"/>
    <row r="687" s="9" customFormat="1"/>
    <row r="688" s="9" customFormat="1"/>
    <row r="689" s="9" customFormat="1"/>
    <row r="690" s="9" customFormat="1"/>
    <row r="691" s="9" customFormat="1"/>
    <row r="692" s="9" customFormat="1"/>
    <row r="693" s="9" customFormat="1"/>
    <row r="694" s="9" customFormat="1"/>
    <row r="695" s="9" customFormat="1"/>
    <row r="696" s="9" customFormat="1"/>
    <row r="697" s="9" customFormat="1"/>
    <row r="698" s="9" customFormat="1"/>
    <row r="699" s="9" customFormat="1"/>
    <row r="700" s="9" customFormat="1"/>
    <row r="701" s="9" customFormat="1"/>
    <row r="702" s="9" customFormat="1"/>
    <row r="703" s="9" customFormat="1"/>
    <row r="704" s="9" customFormat="1"/>
    <row r="705" s="9" customFormat="1"/>
    <row r="706" s="9" customFormat="1"/>
    <row r="707" s="9" customFormat="1"/>
    <row r="708" s="9" customFormat="1"/>
    <row r="709" s="9" customFormat="1"/>
    <row r="710" s="9" customFormat="1"/>
    <row r="711" s="9" customFormat="1"/>
    <row r="712" s="9" customFormat="1"/>
    <row r="713" s="9" customFormat="1"/>
    <row r="714" s="9" customFormat="1"/>
    <row r="715" s="9" customFormat="1"/>
    <row r="716" s="9" customFormat="1"/>
    <row r="717" s="9" customFormat="1"/>
    <row r="718" s="9" customFormat="1"/>
    <row r="719" s="9" customFormat="1"/>
    <row r="720" s="9" customFormat="1"/>
    <row r="721" s="9" customFormat="1"/>
    <row r="722" s="9" customFormat="1"/>
    <row r="723" s="9" customFormat="1"/>
    <row r="724" s="9" customFormat="1"/>
    <row r="725" s="9" customFormat="1"/>
    <row r="726" s="9" customFormat="1"/>
    <row r="727" s="9" customFormat="1"/>
    <row r="728" s="9" customFormat="1"/>
    <row r="729" s="9" customFormat="1"/>
    <row r="730" s="9" customFormat="1"/>
    <row r="731" s="9" customFormat="1"/>
    <row r="732" s="9" customFormat="1"/>
    <row r="733" s="9" customFormat="1"/>
    <row r="734" s="9" customFormat="1"/>
    <row r="735" s="9" customFormat="1"/>
    <row r="736" s="9" customFormat="1"/>
    <row r="737" s="9" customFormat="1"/>
    <row r="738" s="9" customFormat="1"/>
    <row r="739" s="9" customFormat="1"/>
    <row r="740" s="9" customFormat="1"/>
    <row r="741" s="9" customFormat="1"/>
    <row r="742" s="9" customFormat="1"/>
    <row r="743" s="9" customFormat="1"/>
    <row r="744" s="9" customFormat="1"/>
    <row r="745" s="9" customFormat="1"/>
    <row r="746" s="9" customFormat="1"/>
    <row r="747" s="9" customFormat="1"/>
    <row r="748" s="9" customFormat="1"/>
    <row r="749" s="9" customFormat="1"/>
    <row r="750" s="9" customFormat="1"/>
    <row r="751" s="9" customFormat="1"/>
    <row r="752" s="9" customFormat="1"/>
    <row r="753" s="9" customFormat="1"/>
    <row r="754" s="9" customFormat="1"/>
    <row r="755" s="9" customFormat="1"/>
    <row r="756" s="9" customFormat="1"/>
    <row r="757" s="9" customFormat="1"/>
    <row r="758" s="9" customFormat="1"/>
    <row r="759" s="9" customFormat="1"/>
    <row r="760" s="9" customFormat="1"/>
    <row r="761" s="9" customFormat="1"/>
    <row r="762" s="9" customFormat="1"/>
    <row r="763" s="9" customFormat="1"/>
    <row r="764" s="9" customFormat="1"/>
    <row r="765" s="9" customFormat="1"/>
    <row r="766" s="9" customFormat="1"/>
    <row r="767" s="9" customFormat="1"/>
    <row r="768" s="9" customFormat="1"/>
    <row r="769" s="9" customFormat="1"/>
    <row r="770" s="9" customFormat="1"/>
    <row r="771" s="9" customFormat="1"/>
    <row r="772" s="9" customFormat="1"/>
    <row r="773" s="9" customFormat="1"/>
    <row r="774" s="9" customFormat="1"/>
    <row r="775" s="9" customFormat="1"/>
    <row r="776" s="9" customFormat="1"/>
    <row r="777" s="9" customFormat="1"/>
    <row r="778" s="9" customFormat="1"/>
    <row r="779" s="9" customFormat="1"/>
    <row r="780" s="9" customFormat="1"/>
    <row r="781" s="9" customFormat="1"/>
    <row r="782" s="9" customFormat="1"/>
    <row r="783" s="9" customFormat="1"/>
    <row r="784" s="9" customFormat="1"/>
    <row r="785" s="9" customFormat="1"/>
    <row r="786" s="9" customFormat="1"/>
    <row r="787" s="9" customFormat="1"/>
    <row r="788" s="9" customFormat="1"/>
    <row r="789" s="9" customFormat="1"/>
    <row r="790" s="9" customFormat="1"/>
    <row r="791" s="9" customFormat="1"/>
    <row r="792" s="9" customFormat="1"/>
    <row r="793" s="9" customFormat="1"/>
    <row r="794" s="9" customFormat="1"/>
    <row r="795" s="9" customFormat="1"/>
    <row r="796" s="9" customFormat="1"/>
    <row r="797" s="9" customFormat="1"/>
    <row r="798" s="9" customFormat="1"/>
    <row r="799" s="9" customFormat="1"/>
    <row r="800" s="9" customFormat="1"/>
    <row r="801" s="9" customFormat="1"/>
    <row r="802" s="9" customFormat="1"/>
    <row r="803" s="9" customFormat="1"/>
    <row r="804" s="9" customFormat="1"/>
    <row r="805" s="9" customFormat="1"/>
    <row r="806" s="9" customFormat="1"/>
    <row r="807" s="9" customFormat="1"/>
    <row r="808" s="9" customFormat="1"/>
    <row r="809" s="9" customFormat="1"/>
    <row r="810" s="9" customFormat="1"/>
    <row r="811" s="9" customFormat="1"/>
    <row r="812" s="9" customFormat="1"/>
    <row r="813" s="9" customFormat="1"/>
    <row r="814" s="9" customFormat="1"/>
    <row r="815" s="9" customFormat="1"/>
    <row r="816" s="9" customFormat="1"/>
    <row r="817" s="9" customFormat="1"/>
    <row r="818" s="9" customFormat="1"/>
    <row r="819" s="9" customFormat="1"/>
    <row r="820" s="9" customFormat="1"/>
    <row r="821" s="9" customFormat="1"/>
    <row r="822" s="9" customFormat="1"/>
    <row r="823" s="9" customFormat="1"/>
    <row r="824" s="9" customFormat="1"/>
    <row r="825" s="9" customFormat="1"/>
    <row r="826" s="9" customFormat="1"/>
    <row r="827" s="9" customFormat="1"/>
    <row r="828" s="9" customFormat="1"/>
    <row r="829" s="9" customFormat="1"/>
    <row r="830" s="9" customFormat="1"/>
    <row r="831" s="9" customFormat="1"/>
    <row r="832" s="9" customFormat="1"/>
    <row r="833" s="9" customFormat="1"/>
    <row r="834" s="9" customFormat="1"/>
    <row r="835" s="9" customFormat="1"/>
    <row r="836" s="9" customFormat="1"/>
    <row r="837" s="9" customFormat="1"/>
    <row r="838" s="9" customFormat="1"/>
    <row r="839" s="9" customFormat="1"/>
    <row r="840" s="9" customFormat="1"/>
    <row r="841" s="9" customFormat="1"/>
    <row r="842" s="9" customFormat="1"/>
    <row r="843" s="9" customFormat="1"/>
    <row r="844" s="9" customFormat="1"/>
    <row r="845" s="9" customFormat="1"/>
    <row r="846" s="9" customFormat="1"/>
    <row r="847" s="9" customFormat="1"/>
    <row r="848" s="9" customFormat="1"/>
    <row r="849" s="9" customFormat="1"/>
    <row r="850" s="9" customFormat="1"/>
    <row r="851" s="9" customFormat="1"/>
    <row r="852" s="9" customFormat="1"/>
    <row r="853" s="9" customFormat="1"/>
    <row r="854" s="9" customFormat="1"/>
    <row r="855" s="9" customFormat="1"/>
    <row r="856" s="9" customFormat="1"/>
    <row r="857" s="9" customFormat="1"/>
    <row r="858" s="9" customFormat="1"/>
    <row r="859" s="9" customFormat="1"/>
    <row r="860" s="9" customFormat="1"/>
    <row r="861" s="9" customFormat="1"/>
    <row r="862" s="9" customFormat="1"/>
    <row r="863" s="9" customFormat="1"/>
    <row r="864" s="9" customFormat="1"/>
    <row r="865" s="9" customFormat="1"/>
    <row r="866" s="9" customFormat="1"/>
    <row r="867" s="9" customFormat="1"/>
    <row r="868" s="9" customFormat="1"/>
    <row r="869" s="9" customFormat="1"/>
    <row r="870" s="9" customFormat="1"/>
    <row r="871" s="9" customFormat="1"/>
    <row r="872" s="9" customFormat="1"/>
    <row r="873" s="9" customFormat="1"/>
    <row r="874" s="9" customFormat="1"/>
    <row r="875" s="9" customFormat="1"/>
    <row r="876" s="9" customFormat="1"/>
    <row r="877" s="9" customFormat="1"/>
    <row r="878" s="9" customFormat="1"/>
    <row r="879" s="9" customFormat="1"/>
    <row r="880" s="9" customFormat="1"/>
    <row r="881" s="9" customFormat="1"/>
    <row r="882" s="9" customFormat="1"/>
    <row r="883" s="9" customFormat="1"/>
    <row r="884" s="9" customFormat="1"/>
    <row r="885" s="9" customFormat="1"/>
    <row r="886" s="9" customFormat="1"/>
    <row r="887" s="9" customFormat="1"/>
    <row r="888" s="9" customFormat="1"/>
    <row r="889" s="9" customFormat="1"/>
    <row r="890" s="9" customFormat="1"/>
    <row r="891" s="9" customFormat="1"/>
    <row r="892" s="9" customFormat="1"/>
    <row r="893" s="9" customFormat="1"/>
    <row r="894" s="9" customFormat="1"/>
    <row r="895" s="9" customFormat="1"/>
    <row r="896" s="9" customFormat="1"/>
    <row r="897" s="9" customFormat="1"/>
    <row r="898" s="9" customFormat="1"/>
    <row r="899" s="9" customFormat="1"/>
    <row r="900" s="9" customFormat="1"/>
    <row r="901" s="9" customFormat="1"/>
    <row r="902" s="9" customFormat="1"/>
    <row r="903" s="9" customFormat="1"/>
    <row r="904" s="9" customFormat="1"/>
    <row r="905" s="9" customFormat="1"/>
    <row r="906" s="9" customFormat="1"/>
    <row r="907" s="9" customFormat="1"/>
    <row r="908" s="9" customFormat="1"/>
    <row r="909" s="9" customFormat="1"/>
    <row r="910" s="9" customFormat="1"/>
    <row r="911" s="9" customFormat="1"/>
    <row r="912" s="9" customFormat="1"/>
    <row r="913" s="9" customFormat="1"/>
    <row r="914" s="9" customFormat="1"/>
    <row r="915" s="9" customFormat="1"/>
    <row r="916" s="9" customFormat="1"/>
    <row r="917" s="9" customFormat="1"/>
    <row r="918" s="9" customFormat="1"/>
    <row r="919" s="9" customFormat="1"/>
    <row r="920" s="9" customFormat="1"/>
    <row r="921" s="9" customFormat="1"/>
    <row r="922" s="9" customFormat="1"/>
    <row r="923" s="9" customFormat="1"/>
    <row r="924" s="9" customFormat="1"/>
    <row r="925" s="9" customFormat="1"/>
    <row r="926" s="9" customFormat="1"/>
    <row r="927" s="9" customFormat="1"/>
    <row r="928" s="9" customFormat="1"/>
    <row r="929" s="9" customFormat="1"/>
    <row r="930" s="9" customFormat="1"/>
    <row r="931" s="9" customFormat="1"/>
    <row r="932" s="9" customFormat="1"/>
    <row r="933" s="9" customFormat="1"/>
    <row r="934" s="9" customFormat="1"/>
    <row r="935" s="9" customFormat="1"/>
    <row r="936" s="9" customFormat="1"/>
    <row r="937" s="9" customFormat="1"/>
    <row r="938" s="9" customFormat="1"/>
    <row r="939" s="9" customFormat="1"/>
    <row r="940" s="9" customFormat="1"/>
    <row r="941" s="9" customFormat="1"/>
    <row r="942" s="9" customFormat="1"/>
    <row r="943" s="9" customFormat="1"/>
    <row r="944" s="9" customFormat="1"/>
    <row r="945" s="9" customFormat="1"/>
    <row r="946" s="9" customFormat="1"/>
    <row r="947" s="9" customFormat="1"/>
    <row r="948" s="9" customFormat="1"/>
    <row r="949" s="9" customFormat="1"/>
    <row r="950" s="9" customFormat="1"/>
    <row r="951" s="9" customFormat="1"/>
    <row r="952" s="9" customFormat="1"/>
    <row r="953" s="9" customFormat="1"/>
    <row r="954" s="9" customFormat="1"/>
    <row r="955" s="9" customFormat="1"/>
    <row r="956" s="9" customFormat="1"/>
    <row r="957" s="9" customFormat="1"/>
    <row r="958" s="9" customFormat="1"/>
    <row r="959" s="9" customFormat="1"/>
    <row r="960" s="9" customFormat="1"/>
    <row r="961" s="9" customFormat="1"/>
    <row r="962" s="9" customFormat="1"/>
    <row r="963" s="9" customFormat="1"/>
    <row r="964" s="9" customFormat="1"/>
    <row r="965" s="9" customFormat="1"/>
    <row r="966" s="9" customFormat="1"/>
    <row r="967" s="9" customFormat="1"/>
    <row r="968" s="9" customFormat="1"/>
    <row r="969" s="9" customFormat="1"/>
    <row r="970" s="9" customFormat="1"/>
    <row r="971" s="9" customFormat="1"/>
    <row r="972" s="9" customFormat="1"/>
    <row r="973" s="9" customFormat="1"/>
    <row r="974" s="9" customFormat="1"/>
    <row r="975" s="9" customFormat="1"/>
    <row r="976" s="9" customFormat="1"/>
    <row r="977" s="9" customFormat="1"/>
    <row r="978" s="9" customFormat="1"/>
    <row r="979" s="9" customFormat="1"/>
    <row r="980" s="9" customFormat="1"/>
    <row r="981" s="9" customFormat="1"/>
    <row r="982" s="9" customFormat="1"/>
    <row r="983" s="9" customFormat="1"/>
    <row r="984" s="9" customFormat="1"/>
    <row r="985" s="9" customFormat="1"/>
    <row r="986" s="9" customFormat="1"/>
    <row r="987" s="9" customFormat="1"/>
    <row r="988" s="9" customFormat="1"/>
    <row r="989" s="9" customFormat="1"/>
    <row r="990" s="9" customFormat="1"/>
    <row r="991" s="9" customFormat="1"/>
    <row r="992" s="9" customFormat="1"/>
    <row r="993" s="9" customFormat="1"/>
    <row r="994" s="9" customFormat="1"/>
    <row r="995" s="9" customFormat="1"/>
    <row r="996" s="9" customFormat="1"/>
    <row r="997" s="9" customFormat="1"/>
    <row r="998" s="9" customFormat="1"/>
    <row r="999" s="9" customFormat="1"/>
    <row r="1000" s="9" customFormat="1"/>
    <row r="1001" s="9" customFormat="1"/>
    <row r="1002" s="9" customFormat="1"/>
    <row r="1003" s="9" customFormat="1"/>
    <row r="1004" s="9" customFormat="1"/>
    <row r="1005" s="9" customFormat="1"/>
    <row r="1006" s="9" customFormat="1"/>
    <row r="1007" s="9" customFormat="1"/>
    <row r="1008" s="9" customFormat="1"/>
    <row r="1009" s="9" customFormat="1"/>
    <row r="1010" s="9" customFormat="1"/>
    <row r="1011" s="9" customFormat="1"/>
    <row r="1012" s="9" customFormat="1"/>
    <row r="1013" s="9" customFormat="1"/>
    <row r="1014" s="9" customFormat="1"/>
    <row r="1015" s="9" customFormat="1"/>
    <row r="1016" s="9" customFormat="1"/>
    <row r="1017" s="9" customFormat="1"/>
    <row r="1018" s="9" customFormat="1"/>
    <row r="1019" s="9" customFormat="1"/>
    <row r="1020" s="9" customFormat="1"/>
    <row r="1021" s="9" customFormat="1"/>
    <row r="1022" s="9" customFormat="1"/>
    <row r="1023" s="9" customFormat="1"/>
    <row r="1024" s="9" customFormat="1"/>
    <row r="1025" s="9" customFormat="1"/>
    <row r="1026" s="9" customFormat="1"/>
    <row r="1027" s="9" customFormat="1"/>
    <row r="1028" s="9" customFormat="1"/>
    <row r="1029" s="9" customFormat="1"/>
    <row r="1030" s="9" customFormat="1"/>
    <row r="1031" s="9" customFormat="1"/>
    <row r="1032" s="9" customFormat="1"/>
    <row r="1033" s="9" customFormat="1"/>
    <row r="1034" s="9" customFormat="1"/>
    <row r="1035" s="9" customFormat="1"/>
    <row r="1036" s="9" customFormat="1"/>
    <row r="1037" s="9" customFormat="1"/>
    <row r="1038" s="9" customFormat="1"/>
    <row r="1039" s="9" customFormat="1"/>
    <row r="1040" s="9" customFormat="1"/>
    <row r="1041" s="9" customFormat="1"/>
    <row r="1042" s="9" customFormat="1"/>
    <row r="1043" s="9" customFormat="1"/>
    <row r="1044" s="9" customFormat="1"/>
    <row r="1045" s="9" customFormat="1"/>
    <row r="1046" s="9" customFormat="1"/>
    <row r="1047" s="9" customFormat="1"/>
    <row r="1048" s="9" customFormat="1"/>
    <row r="1049" s="9" customFormat="1"/>
    <row r="1050" s="9" customFormat="1"/>
    <row r="1051" s="9" customFormat="1"/>
    <row r="1052" s="9" customFormat="1"/>
    <row r="1053" s="9" customFormat="1"/>
    <row r="1054" s="9" customFormat="1"/>
    <row r="1055" s="9" customFormat="1"/>
    <row r="1056" s="9" customFormat="1"/>
    <row r="1057" s="9" customFormat="1"/>
    <row r="1058" s="9" customFormat="1"/>
    <row r="1059" s="9" customFormat="1"/>
    <row r="1060" s="9" customFormat="1"/>
    <row r="1061" s="9" customFormat="1"/>
    <row r="1062" s="9" customFormat="1"/>
    <row r="1063" s="9" customFormat="1"/>
    <row r="1064" s="9" customFormat="1"/>
    <row r="1065" s="9" customFormat="1"/>
    <row r="1066" s="9" customFormat="1"/>
    <row r="1067" s="9" customFormat="1"/>
    <row r="1068" s="9" customFormat="1"/>
    <row r="1069" s="9" customFormat="1"/>
    <row r="1070" s="9" customFormat="1"/>
    <row r="1071" s="9" customFormat="1"/>
    <row r="1072" s="9" customFormat="1"/>
    <row r="1073" s="9" customFormat="1"/>
    <row r="1074" s="9" customFormat="1"/>
    <row r="1075" s="9" customFormat="1"/>
    <row r="1076" s="9" customFormat="1"/>
    <row r="1077" s="9" customFormat="1"/>
    <row r="1078" s="9" customFormat="1"/>
    <row r="1079" s="9" customFormat="1"/>
    <row r="1080" s="9" customFormat="1"/>
    <row r="1081" s="9" customFormat="1"/>
    <row r="1082" s="9" customFormat="1"/>
    <row r="1083" s="9" customFormat="1"/>
    <row r="1084" s="9" customFormat="1"/>
    <row r="1085" s="9" customFormat="1"/>
    <row r="1086" s="9" customFormat="1"/>
    <row r="1087" s="9" customFormat="1"/>
    <row r="1088" s="9" customFormat="1"/>
    <row r="1089" s="9" customFormat="1"/>
    <row r="1090" s="9" customFormat="1"/>
    <row r="1091" s="9" customFormat="1"/>
    <row r="1092" s="9" customFormat="1"/>
    <row r="1093" s="9" customFormat="1"/>
    <row r="1094" s="9" customFormat="1"/>
    <row r="1095" s="9" customFormat="1"/>
    <row r="1096" s="9" customFormat="1"/>
    <row r="1097" s="9" customFormat="1"/>
    <row r="1098" s="9" customFormat="1"/>
    <row r="1099" s="9" customFormat="1"/>
    <row r="1100" s="9" customFormat="1"/>
    <row r="1101" s="9" customFormat="1"/>
    <row r="1102" s="9" customFormat="1"/>
    <row r="1103" s="9" customFormat="1"/>
    <row r="1104" s="9" customFormat="1"/>
    <row r="1105" s="9" customFormat="1"/>
    <row r="1106" s="9" customFormat="1"/>
    <row r="1107" s="9" customFormat="1"/>
    <row r="1108" s="9" customFormat="1"/>
    <row r="1109" s="9" customFormat="1"/>
    <row r="1110" s="9" customFormat="1"/>
    <row r="1111" s="9" customFormat="1"/>
    <row r="1112" s="9" customFormat="1"/>
    <row r="1113" s="9" customFormat="1"/>
    <row r="1114" s="9" customFormat="1"/>
    <row r="1115" s="9" customFormat="1"/>
    <row r="1116" s="9" customFormat="1"/>
    <row r="1117" s="9" customFormat="1"/>
    <row r="1118" s="9" customFormat="1"/>
    <row r="1119" s="9" customFormat="1"/>
    <row r="1120" s="9" customFormat="1"/>
    <row r="1121" s="9" customFormat="1"/>
    <row r="1122" s="9" customFormat="1"/>
    <row r="1123" s="9" customFormat="1"/>
    <row r="1124" s="9" customFormat="1"/>
    <row r="1125" s="9" customFormat="1"/>
    <row r="1126" s="9" customFormat="1"/>
    <row r="1127" s="9" customFormat="1"/>
    <row r="1128" s="9" customFormat="1"/>
    <row r="1129" s="9" customFormat="1"/>
    <row r="1130" s="9" customFormat="1"/>
    <row r="1131" s="9" customFormat="1"/>
    <row r="1132" s="9" customFormat="1"/>
    <row r="1133" s="9" customFormat="1"/>
    <row r="1134" s="9" customFormat="1"/>
    <row r="1135" s="9" customFormat="1"/>
    <row r="1136" s="9" customFormat="1"/>
    <row r="1137" s="9" customFormat="1"/>
    <row r="1138" s="9" customFormat="1"/>
    <row r="1139" s="9" customFormat="1"/>
    <row r="1140" s="9" customFormat="1"/>
    <row r="1141" s="9" customFormat="1"/>
    <row r="1142" s="9" customFormat="1"/>
    <row r="1143" s="9" customFormat="1"/>
    <row r="1144" s="9" customFormat="1"/>
    <row r="1145" s="9" customFormat="1"/>
    <row r="1146" s="9" customFormat="1"/>
    <row r="1147" s="9" customFormat="1"/>
    <row r="1148" s="9" customFormat="1"/>
    <row r="1149" s="9" customFormat="1"/>
    <row r="1150" s="9" customFormat="1"/>
    <row r="1151" s="9" customFormat="1"/>
    <row r="1152" s="9" customFormat="1"/>
    <row r="1153" s="9" customFormat="1"/>
    <row r="1154" s="9" customFormat="1"/>
    <row r="1155" s="9" customFormat="1"/>
    <row r="1156" s="9" customFormat="1"/>
    <row r="1157" s="9" customFormat="1"/>
    <row r="1158" s="9" customFormat="1"/>
    <row r="1159" s="9" customFormat="1"/>
    <row r="1160" s="9" customFormat="1"/>
    <row r="1161" s="9" customFormat="1"/>
    <row r="1162" s="9" customFormat="1"/>
    <row r="1163" s="9" customFormat="1"/>
    <row r="1164" s="9" customFormat="1"/>
    <row r="1165" s="9" customFormat="1"/>
    <row r="1166" s="9" customFormat="1"/>
    <row r="1167" s="9" customFormat="1"/>
    <row r="1168" s="9" customFormat="1"/>
    <row r="1169" s="9" customFormat="1"/>
    <row r="1170" s="9" customFormat="1"/>
    <row r="1171" s="9" customFormat="1"/>
    <row r="1172" s="9" customFormat="1"/>
    <row r="1173" s="9" customFormat="1"/>
    <row r="1174" s="9" customFormat="1"/>
    <row r="1175" s="9" customFormat="1"/>
    <row r="1176" s="9" customFormat="1"/>
    <row r="1177" s="9" customFormat="1"/>
    <row r="1178" s="9" customFormat="1"/>
    <row r="1179" s="9" customFormat="1"/>
    <row r="1180" s="9" customFormat="1"/>
    <row r="1181" s="9" customFormat="1"/>
    <row r="1182" s="9" customFormat="1"/>
    <row r="1183" s="9" customFormat="1"/>
    <row r="1184" s="9" customFormat="1"/>
    <row r="1185" s="9" customFormat="1"/>
    <row r="1186" s="9" customFormat="1"/>
    <row r="1187" s="9" customFormat="1"/>
    <row r="1188" s="9" customFormat="1"/>
    <row r="1189" s="9" customFormat="1"/>
    <row r="1190" s="9" customFormat="1"/>
    <row r="1191" s="9" customFormat="1"/>
    <row r="1192" s="9" customFormat="1"/>
    <row r="1193" s="9" customFormat="1"/>
    <row r="1194" s="9" customFormat="1"/>
    <row r="1195" s="9" customFormat="1"/>
    <row r="1196" s="9" customFormat="1"/>
    <row r="1197" s="9" customFormat="1"/>
    <row r="1198" s="9" customFormat="1"/>
    <row r="1199" s="9" customFormat="1"/>
    <row r="1200" s="9" customFormat="1"/>
    <row r="1201" s="9" customFormat="1"/>
    <row r="1202" s="9" customFormat="1"/>
    <row r="1203" s="9" customFormat="1"/>
    <row r="1204" s="9" customFormat="1"/>
    <row r="1205" s="9" customFormat="1"/>
    <row r="1206" s="9" customFormat="1"/>
    <row r="1207" s="9" customFormat="1"/>
    <row r="1208" s="9" customFormat="1"/>
    <row r="1209" s="9" customFormat="1"/>
    <row r="1210" s="9" customFormat="1"/>
    <row r="1211" s="9" customFormat="1"/>
    <row r="1212" s="9" customFormat="1"/>
    <row r="1213" s="9" customFormat="1"/>
    <row r="1214" s="9" customFormat="1"/>
    <row r="1215" s="9" customFormat="1"/>
    <row r="1216" s="9" customFormat="1"/>
    <row r="1217" s="9" customFormat="1"/>
    <row r="1218" s="9" customFormat="1"/>
    <row r="1219" s="9" customFormat="1"/>
    <row r="1220" s="9" customFormat="1"/>
    <row r="1221" s="9" customFormat="1"/>
    <row r="1222" s="9" customFormat="1"/>
    <row r="1223" s="9" customFormat="1"/>
    <row r="1224" s="9" customFormat="1"/>
    <row r="1225" s="9" customFormat="1"/>
    <row r="1226" s="9" customFormat="1"/>
    <row r="1227" s="9" customFormat="1"/>
    <row r="1228" s="9" customFormat="1"/>
    <row r="1229" s="9" customFormat="1"/>
    <row r="1230" s="9" customFormat="1"/>
    <row r="1231" s="9" customFormat="1"/>
    <row r="1232" s="9" customFormat="1"/>
    <row r="1233" s="9" customFormat="1"/>
    <row r="1234" s="9" customFormat="1"/>
    <row r="1235" s="9" customFormat="1"/>
    <row r="1236" s="9" customFormat="1"/>
    <row r="1237" s="9" customFormat="1"/>
    <row r="1238" s="9" customFormat="1"/>
    <row r="1239" s="9" customFormat="1"/>
    <row r="1240" s="9" customFormat="1"/>
    <row r="1241" s="9" customFormat="1"/>
    <row r="1242" s="9" customFormat="1"/>
    <row r="1243" s="9" customFormat="1"/>
    <row r="1244" s="9" customFormat="1"/>
    <row r="1245" s="9" customFormat="1"/>
    <row r="1246" s="9" customFormat="1"/>
    <row r="1247" s="9" customFormat="1"/>
    <row r="1248" s="9" customFormat="1"/>
    <row r="1249" s="9" customFormat="1"/>
    <row r="1250" s="9" customFormat="1"/>
    <row r="1251" s="9" customFormat="1"/>
    <row r="1252" s="9" customFormat="1"/>
    <row r="1253" s="9" customFormat="1"/>
    <row r="1254" s="9" customFormat="1"/>
    <row r="1255" s="9" customFormat="1"/>
    <row r="1256" s="9" customFormat="1"/>
    <row r="1257" s="9" customFormat="1"/>
    <row r="1258" s="9" customFormat="1"/>
    <row r="1259" s="9" customFormat="1"/>
    <row r="1260" s="9" customFormat="1"/>
    <row r="1261" s="9" customFormat="1"/>
    <row r="1262" s="9" customFormat="1"/>
    <row r="1263" s="9" customFormat="1"/>
    <row r="1264" s="9" customFormat="1"/>
    <row r="1265" s="9" customFormat="1"/>
    <row r="1266" s="9" customFormat="1"/>
    <row r="1267" s="9" customFormat="1"/>
    <row r="1268" s="9" customFormat="1"/>
    <row r="1269" s="9" customFormat="1"/>
    <row r="1270" s="9" customFormat="1"/>
    <row r="1271" s="9" customFormat="1"/>
    <row r="1272" s="9" customFormat="1"/>
    <row r="1273" s="9" customFormat="1"/>
    <row r="1274" s="9" customFormat="1"/>
    <row r="1275" s="9" customFormat="1"/>
    <row r="1276" s="9" customFormat="1"/>
    <row r="1277" s="9" customFormat="1"/>
    <row r="1278" s="9" customFormat="1"/>
    <row r="1279" s="9" customFormat="1"/>
    <row r="1280" s="9" customFormat="1"/>
    <row r="1281" s="9" customFormat="1"/>
    <row r="1282" s="9" customFormat="1"/>
    <row r="1283" s="9" customFormat="1"/>
    <row r="1284" s="9" customFormat="1"/>
    <row r="1285" s="9" customFormat="1"/>
    <row r="1286" s="9" customFormat="1"/>
    <row r="1287" s="9" customFormat="1"/>
    <row r="1288" s="9" customFormat="1"/>
    <row r="1289" s="9" customFormat="1"/>
    <row r="1290" s="9" customFormat="1"/>
    <row r="1291" s="9" customFormat="1"/>
    <row r="1292" s="9" customFormat="1"/>
    <row r="1293" s="9" customFormat="1"/>
    <row r="1294" s="9" customFormat="1"/>
    <row r="1295" s="9" customFormat="1"/>
    <row r="1296" s="9" customFormat="1"/>
    <row r="1297" s="9" customFormat="1"/>
    <row r="1298" s="9" customFormat="1"/>
    <row r="1299" s="9" customFormat="1"/>
    <row r="1300" s="9" customFormat="1"/>
    <row r="1301" s="9" customFormat="1"/>
    <row r="1302" s="9" customFormat="1"/>
    <row r="1303" s="9" customFormat="1"/>
    <row r="1304" s="9" customFormat="1"/>
    <row r="1305" s="9" customFormat="1"/>
    <row r="1306" s="9" customFormat="1"/>
    <row r="1307" s="9" customFormat="1"/>
    <row r="1308" s="9" customFormat="1"/>
    <row r="1309" s="9" customFormat="1"/>
    <row r="1310" s="9" customFormat="1"/>
    <row r="1311" s="9" customFormat="1"/>
    <row r="1312" s="9" customFormat="1"/>
    <row r="1313" s="9" customFormat="1"/>
    <row r="1314" s="9" customFormat="1"/>
    <row r="1315" s="9" customFormat="1"/>
    <row r="1316" s="9" customFormat="1"/>
    <row r="1317" s="9" customFormat="1"/>
    <row r="1318" s="9" customFormat="1"/>
    <row r="1319" s="9" customFormat="1"/>
    <row r="1320" s="9" customFormat="1"/>
    <row r="1321" s="9" customFormat="1"/>
    <row r="1322" s="9" customFormat="1"/>
    <row r="1323" s="9" customFormat="1"/>
    <row r="1324" s="9" customFormat="1"/>
    <row r="1325" s="9" customFormat="1"/>
    <row r="1326" s="9" customFormat="1"/>
    <row r="1327" s="9" customFormat="1"/>
    <row r="1328" s="9" customFormat="1"/>
    <row r="1329" s="9" customFormat="1"/>
    <row r="1330" s="9" customFormat="1"/>
    <row r="1331" s="9" customFormat="1"/>
    <row r="1332" s="9" customFormat="1"/>
    <row r="1333" s="9" customFormat="1"/>
    <row r="1334" s="9" customFormat="1"/>
    <row r="1335" s="9" customFormat="1"/>
    <row r="1336" s="9" customFormat="1"/>
    <row r="1337" s="9" customFormat="1"/>
    <row r="1338" s="9" customFormat="1"/>
    <row r="1339" s="9" customFormat="1"/>
    <row r="1340" s="9" customFormat="1"/>
    <row r="1341" s="9" customFormat="1"/>
    <row r="1342" s="9" customFormat="1"/>
    <row r="1343" s="9" customFormat="1"/>
    <row r="1344" s="9" customFormat="1"/>
    <row r="1345" s="9" customFormat="1"/>
    <row r="1346" s="9" customFormat="1"/>
    <row r="1347" s="9" customFormat="1"/>
    <row r="1348" s="9" customFormat="1"/>
    <row r="1349" s="9" customFormat="1"/>
    <row r="1350" s="9" customFormat="1"/>
    <row r="1351" s="9" customFormat="1"/>
    <row r="1352" s="9" customFormat="1"/>
    <row r="1353" s="9" customFormat="1"/>
    <row r="1354" s="9" customFormat="1"/>
    <row r="1355" s="9" customFormat="1"/>
    <row r="1356" s="9" customFormat="1"/>
    <row r="1357" s="9" customFormat="1"/>
    <row r="1358" s="9" customFormat="1"/>
    <row r="1359" s="9" customFormat="1"/>
    <row r="1360" s="9" customFormat="1"/>
    <row r="1361" s="9" customFormat="1"/>
    <row r="1362" s="9" customFormat="1"/>
    <row r="1363" s="9" customFormat="1"/>
    <row r="1364" s="9" customFormat="1"/>
    <row r="1365" s="9" customFormat="1"/>
    <row r="1366" s="9" customFormat="1"/>
    <row r="1367" s="9" customFormat="1"/>
    <row r="1368" s="9" customFormat="1"/>
    <row r="1369" s="9" customFormat="1"/>
    <row r="1370" s="9" customFormat="1"/>
    <row r="1371" s="9" customFormat="1"/>
    <row r="1372" s="9" customFormat="1"/>
    <row r="1373" s="9" customFormat="1"/>
    <row r="1374" s="9" customFormat="1"/>
    <row r="1375" s="9" customFormat="1"/>
    <row r="1376" s="9" customFormat="1"/>
    <row r="1377" s="9" customFormat="1"/>
    <row r="1378" s="9" customFormat="1"/>
    <row r="1379" s="9" customFormat="1"/>
    <row r="1380" s="9" customFormat="1"/>
    <row r="1381" s="9" customFormat="1"/>
    <row r="1382" s="9" customFormat="1"/>
    <row r="1383" s="9" customFormat="1"/>
    <row r="1384" s="9" customFormat="1"/>
    <row r="1385" s="9" customFormat="1"/>
    <row r="1386" s="9" customFormat="1"/>
    <row r="1387" s="9" customFormat="1"/>
    <row r="1388" s="9" customFormat="1"/>
    <row r="1389" s="9" customFormat="1"/>
    <row r="1390" s="9" customFormat="1"/>
    <row r="1391" s="9" customFormat="1"/>
    <row r="1392" s="9" customFormat="1"/>
    <row r="1393" s="9" customFormat="1"/>
    <row r="1394" s="9" customFormat="1"/>
    <row r="1395" s="9" customFormat="1"/>
    <row r="1396" s="9" customFormat="1"/>
    <row r="1397" s="9" customFormat="1"/>
    <row r="1398" s="9" customFormat="1"/>
    <row r="1399" s="9" customFormat="1"/>
    <row r="1400" s="9" customFormat="1"/>
    <row r="1401" s="9" customFormat="1"/>
    <row r="1402" s="9" customFormat="1"/>
    <row r="1403" s="9" customFormat="1"/>
    <row r="1404" s="9" customFormat="1"/>
    <row r="1405" s="9" customFormat="1"/>
    <row r="1406" s="9" customFormat="1"/>
    <row r="1407" s="9" customFormat="1"/>
    <row r="1408" s="9" customFormat="1"/>
    <row r="1409" s="9" customFormat="1"/>
    <row r="1410" s="9" customFormat="1"/>
    <row r="1411" s="9" customFormat="1"/>
    <row r="1412" s="9" customFormat="1"/>
    <row r="1413" s="9" customFormat="1"/>
    <row r="1414" s="9" customFormat="1"/>
    <row r="1415" s="9" customFormat="1"/>
    <row r="1416" s="9" customFormat="1"/>
    <row r="1417" s="9" customFormat="1"/>
    <row r="1418" s="9" customFormat="1"/>
    <row r="1419" s="9" customFormat="1"/>
    <row r="1420" s="9" customFormat="1"/>
    <row r="1421" s="9" customFormat="1"/>
    <row r="1422" s="9" customFormat="1"/>
    <row r="1423" s="9" customFormat="1"/>
    <row r="1424" s="9" customFormat="1"/>
    <row r="1425" s="9" customFormat="1"/>
    <row r="1426" s="9" customFormat="1"/>
    <row r="1427" s="9" customFormat="1"/>
    <row r="1428" s="9" customFormat="1"/>
    <row r="1429" s="9" customFormat="1"/>
    <row r="1430" s="9" customFormat="1"/>
    <row r="1431" s="9" customFormat="1"/>
    <row r="1432" s="9" customFormat="1"/>
    <row r="1433" s="9" customFormat="1"/>
    <row r="1434" s="9" customFormat="1"/>
    <row r="1435" s="9" customFormat="1"/>
    <row r="1436" s="9" customFormat="1"/>
    <row r="1437" s="9" customFormat="1"/>
    <row r="1438" s="9" customFormat="1"/>
    <row r="1439" s="9" customFormat="1"/>
    <row r="1440" s="9" customFormat="1"/>
    <row r="1441" s="9" customFormat="1"/>
    <row r="1442" s="9" customFormat="1"/>
    <row r="1443" s="9" customFormat="1"/>
    <row r="1444" s="9" customFormat="1"/>
    <row r="1445" s="9" customFormat="1"/>
    <row r="1446" s="9" customFormat="1"/>
    <row r="1447" s="9" customFormat="1"/>
    <row r="1448" s="9" customFormat="1"/>
    <row r="1449" s="9" customFormat="1"/>
    <row r="1450" s="9" customFormat="1"/>
    <row r="1451" s="9" customFormat="1"/>
    <row r="1452" s="9" customFormat="1"/>
    <row r="1453" s="9" customFormat="1"/>
    <row r="1454" s="9" customFormat="1"/>
    <row r="1455" s="9" customFormat="1"/>
    <row r="1456" s="9" customFormat="1"/>
    <row r="1457" s="9" customFormat="1"/>
    <row r="1458" s="9" customFormat="1"/>
    <row r="1459" s="9" customFormat="1"/>
    <row r="1460" s="9" customFormat="1"/>
    <row r="1461" s="9" customFormat="1"/>
    <row r="1462" s="9" customFormat="1"/>
    <row r="1463" s="9" customFormat="1"/>
    <row r="1464" s="9" customFormat="1"/>
    <row r="1465" s="9" customFormat="1"/>
    <row r="1466" s="9" customFormat="1"/>
    <row r="1467" s="9" customFormat="1"/>
    <row r="1468" s="9" customFormat="1"/>
    <row r="1469" s="9" customFormat="1"/>
    <row r="1470" s="9" customFormat="1"/>
    <row r="1471" s="9" customFormat="1"/>
    <row r="1472" s="9" customFormat="1"/>
    <row r="1473" s="9" customFormat="1"/>
    <row r="1474" s="9" customFormat="1"/>
    <row r="1475" s="9" customFormat="1"/>
    <row r="1476" s="9" customFormat="1"/>
    <row r="1477" s="9" customFormat="1"/>
    <row r="1478" s="9" customFormat="1"/>
    <row r="1479" s="9" customFormat="1"/>
    <row r="1480" s="9" customFormat="1"/>
    <row r="1481" s="9" customFormat="1"/>
    <row r="1482" s="9" customFormat="1"/>
    <row r="1483" s="9" customFormat="1"/>
    <row r="1484" s="9" customFormat="1"/>
    <row r="1485" s="9" customFormat="1"/>
    <row r="1486" s="9" customFormat="1"/>
    <row r="1487" s="9" customFormat="1"/>
    <row r="1488" s="9" customFormat="1"/>
    <row r="1489" s="9" customFormat="1"/>
    <row r="1490" s="9" customFormat="1"/>
    <row r="1491" s="9" customFormat="1"/>
    <row r="1492" s="9" customFormat="1"/>
    <row r="1493" s="9" customFormat="1"/>
    <row r="1494" s="9" customFormat="1"/>
    <row r="1495" s="9" customFormat="1"/>
    <row r="1496" s="9" customFormat="1"/>
    <row r="1497" s="9" customFormat="1"/>
    <row r="1498" s="9" customFormat="1"/>
    <row r="1499" s="9" customFormat="1"/>
    <row r="1500" s="9" customFormat="1"/>
    <row r="1501" s="9" customFormat="1"/>
    <row r="1502" s="9" customFormat="1"/>
    <row r="1503" s="9" customFormat="1"/>
    <row r="1504" s="9" customFormat="1"/>
    <row r="1505" s="9" customFormat="1"/>
    <row r="1506" s="9" customFormat="1"/>
    <row r="1507" s="9" customFormat="1"/>
    <row r="1508" s="9" customFormat="1"/>
    <row r="1509" s="9" customFormat="1"/>
    <row r="1510" s="9" customFormat="1"/>
    <row r="1511" s="9" customFormat="1"/>
    <row r="1512" s="9" customFormat="1"/>
    <row r="1513" s="9" customFormat="1"/>
    <row r="1514" s="9" customFormat="1"/>
    <row r="1515" s="9" customFormat="1"/>
    <row r="1516" s="9" customFormat="1"/>
    <row r="1517" s="9" customFormat="1"/>
    <row r="1518" s="9" customFormat="1"/>
    <row r="1519" s="9" customFormat="1"/>
    <row r="1520" s="9" customFormat="1"/>
    <row r="1521" s="9" customFormat="1"/>
    <row r="1522" s="9" customFormat="1"/>
    <row r="1523" s="9" customFormat="1"/>
    <row r="1524" s="9" customFormat="1"/>
    <row r="1525" s="9" customFormat="1"/>
    <row r="1526" s="9" customFormat="1"/>
    <row r="1527" s="9" customFormat="1"/>
    <row r="1528" s="9" customFormat="1"/>
    <row r="1529" s="9" customFormat="1"/>
    <row r="1530" s="9" customFormat="1"/>
    <row r="1531" s="9" customFormat="1"/>
    <row r="1532" s="9" customFormat="1"/>
    <row r="1533" s="9" customFormat="1"/>
    <row r="1534" s="9" customFormat="1"/>
    <row r="1535" s="9" customFormat="1"/>
    <row r="1536" s="9" customFormat="1"/>
    <row r="1537" s="9" customFormat="1"/>
    <row r="1538" s="9" customFormat="1"/>
    <row r="1539" s="9" customFormat="1"/>
    <row r="1540" s="9" customFormat="1"/>
    <row r="1541" s="9" customFormat="1"/>
    <row r="1542" s="9" customFormat="1"/>
    <row r="1543" s="9" customFormat="1"/>
    <row r="1544" s="9" customFormat="1"/>
    <row r="1545" s="9" customFormat="1"/>
    <row r="1546" s="9" customFormat="1"/>
    <row r="1547" s="9" customFormat="1"/>
    <row r="1548" s="9" customFormat="1"/>
    <row r="1549" s="9" customFormat="1"/>
    <row r="1550" s="9" customFormat="1"/>
    <row r="1551" s="9" customFormat="1"/>
    <row r="1552" s="9" customFormat="1"/>
    <row r="1553" s="9" customFormat="1"/>
    <row r="1554" s="9" customFormat="1"/>
    <row r="1555" s="9" customFormat="1"/>
    <row r="1556" s="9" customFormat="1"/>
    <row r="1557" s="9" customFormat="1"/>
    <row r="1558" s="9" customFormat="1"/>
    <row r="1559" s="9" customFormat="1"/>
    <row r="1560" s="9" customFormat="1"/>
    <row r="1561" s="9" customFormat="1"/>
    <row r="1562" s="9" customFormat="1"/>
    <row r="1563" s="9" customFormat="1"/>
    <row r="1564" s="9" customFormat="1"/>
    <row r="1565" s="9" customFormat="1"/>
    <row r="1566" s="9" customFormat="1"/>
    <row r="1567" s="9" customFormat="1"/>
    <row r="1568" s="9" customFormat="1"/>
    <row r="1569" s="9" customFormat="1"/>
    <row r="1570" s="9" customFormat="1"/>
    <row r="1571" s="9" customFormat="1"/>
    <row r="1572" s="9" customFormat="1"/>
    <row r="1573" s="9" customFormat="1"/>
    <row r="1574" s="9" customFormat="1"/>
    <row r="1575" s="9" customFormat="1"/>
    <row r="1576" s="9" customFormat="1"/>
    <row r="1577" s="9" customFormat="1"/>
    <row r="1578" s="9" customFormat="1"/>
    <row r="1579" s="9" customFormat="1"/>
    <row r="1580" s="9" customFormat="1"/>
    <row r="1581" s="9" customFormat="1"/>
    <row r="1582" s="9" customFormat="1"/>
    <row r="1583" s="9" customFormat="1"/>
    <row r="1584" s="9" customFormat="1"/>
    <row r="1585" s="9" customFormat="1"/>
    <row r="1586" s="9" customFormat="1"/>
    <row r="1587" s="9" customFormat="1"/>
    <row r="1588" s="9" customFormat="1"/>
    <row r="1589" s="9" customFormat="1"/>
    <row r="1590" s="9" customFormat="1"/>
    <row r="1591" s="9" customFormat="1"/>
    <row r="1592" s="9" customFormat="1"/>
    <row r="1593" s="9" customFormat="1"/>
    <row r="1594" s="9" customFormat="1"/>
    <row r="1595" s="9" customFormat="1"/>
    <row r="1596" s="9" customFormat="1"/>
    <row r="1597" s="9" customFormat="1"/>
    <row r="1598" s="9" customFormat="1"/>
    <row r="1599" s="9" customFormat="1"/>
    <row r="1600" s="9" customFormat="1"/>
    <row r="1601" s="9" customFormat="1"/>
    <row r="1602" s="9" customFormat="1"/>
    <row r="1603" s="9" customFormat="1"/>
    <row r="1604" s="9" customFormat="1"/>
    <row r="1605" s="9" customFormat="1"/>
    <row r="1606" s="9" customFormat="1"/>
    <row r="1607" s="9" customFormat="1"/>
    <row r="1608" s="9" customFormat="1"/>
    <row r="1609" s="9" customFormat="1"/>
    <row r="1610" s="9" customFormat="1"/>
    <row r="1611" s="9" customFormat="1"/>
    <row r="1612" s="9" customFormat="1"/>
    <row r="1613" s="9" customFormat="1"/>
    <row r="1614" s="9" customFormat="1"/>
    <row r="1615" s="9" customFormat="1"/>
    <row r="1616" s="9" customFormat="1"/>
    <row r="1617" s="9" customFormat="1"/>
    <row r="1618" s="9" customFormat="1"/>
    <row r="1619" s="9" customFormat="1"/>
    <row r="1620" s="9" customFormat="1"/>
    <row r="1621" s="9" customFormat="1"/>
    <row r="1622" s="9" customFormat="1"/>
    <row r="1623" s="9" customFormat="1"/>
    <row r="1624" s="9" customFormat="1"/>
    <row r="1625" s="9" customFormat="1"/>
    <row r="1626" s="9" customFormat="1"/>
    <row r="1627" s="9" customFormat="1"/>
    <row r="1628" s="9" customFormat="1"/>
    <row r="1629" s="9" customFormat="1"/>
    <row r="1630" s="9" customFormat="1"/>
    <row r="1631" s="9" customFormat="1"/>
    <row r="1632" s="9" customFormat="1"/>
    <row r="1633" s="9" customFormat="1"/>
    <row r="1634" s="9" customFormat="1"/>
    <row r="1635" s="9" customFormat="1"/>
    <row r="1636" s="9" customFormat="1"/>
    <row r="1637" s="9" customFormat="1"/>
    <row r="1638" s="9" customFormat="1"/>
    <row r="1639" s="9" customFormat="1"/>
    <row r="1640" s="9" customFormat="1"/>
    <row r="1641" s="9" customFormat="1"/>
    <row r="1642" s="9" customFormat="1"/>
    <row r="1643" s="9" customFormat="1"/>
    <row r="1644" s="9" customFormat="1"/>
    <row r="1645" s="9" customFormat="1"/>
    <row r="1646" s="9" customFormat="1"/>
    <row r="1647" s="9" customFormat="1"/>
    <row r="1648" s="9" customFormat="1"/>
    <row r="1649" s="9" customFormat="1"/>
    <row r="1650" s="9" customFormat="1"/>
    <row r="1651" s="9" customFormat="1"/>
    <row r="1652" s="9" customFormat="1"/>
    <row r="1653" s="9" customFormat="1"/>
    <row r="1654" s="9" customFormat="1"/>
    <row r="1655" s="9" customFormat="1"/>
    <row r="1656" s="9" customFormat="1"/>
    <row r="1657" s="9" customFormat="1"/>
    <row r="1658" s="9" customFormat="1"/>
    <row r="1659" s="9" customFormat="1"/>
    <row r="1660" s="9" customFormat="1"/>
    <row r="1661" s="9" customFormat="1"/>
    <row r="1662" s="9" customFormat="1"/>
    <row r="1663" s="9" customFormat="1"/>
    <row r="1664" s="9" customFormat="1"/>
    <row r="1665" s="9" customFormat="1"/>
    <row r="1666" s="9" customFormat="1"/>
    <row r="1667" s="9" customFormat="1"/>
    <row r="1668" s="9" customFormat="1"/>
    <row r="1669" s="9" customFormat="1"/>
    <row r="1670" s="9" customFormat="1"/>
    <row r="1671" s="9" customFormat="1"/>
    <row r="1672" s="9" customFormat="1"/>
    <row r="1673" s="9" customFormat="1"/>
    <row r="1674" s="9" customFormat="1"/>
    <row r="1675" s="9" customFormat="1"/>
    <row r="1676" s="9" customFormat="1"/>
    <row r="1677" s="9" customFormat="1"/>
    <row r="1678" s="9" customFormat="1"/>
    <row r="1679" s="9" customFormat="1"/>
    <row r="1680" s="9" customFormat="1"/>
    <row r="1681" s="9" customFormat="1"/>
    <row r="1682" s="9" customFormat="1"/>
    <row r="1683" s="9" customFormat="1"/>
    <row r="1684" s="9" customFormat="1"/>
    <row r="1685" s="9" customFormat="1"/>
    <row r="1686" s="9" customFormat="1"/>
    <row r="1687" s="9" customFormat="1"/>
    <row r="1688" s="9" customFormat="1"/>
    <row r="1689" s="9" customFormat="1"/>
    <row r="1690" s="9" customFormat="1"/>
    <row r="1691" s="9" customFormat="1"/>
    <row r="1692" s="9" customFormat="1"/>
    <row r="1693" s="9" customFormat="1"/>
    <row r="1694" s="9" customFormat="1"/>
    <row r="1695" s="9" customFormat="1"/>
    <row r="1696" s="9" customFormat="1"/>
    <row r="1697" s="9" customFormat="1"/>
    <row r="1698" s="9" customFormat="1"/>
    <row r="1699" s="9" customFormat="1"/>
    <row r="1700" s="9" customFormat="1"/>
    <row r="1701" s="9" customFormat="1"/>
    <row r="1702" s="9" customFormat="1"/>
    <row r="1703" s="9" customFormat="1"/>
    <row r="1704" s="9" customFormat="1"/>
    <row r="1705" s="9" customFormat="1"/>
    <row r="1706" s="9" customFormat="1"/>
    <row r="1707" s="9" customFormat="1"/>
    <row r="1708" s="9" customFormat="1"/>
    <row r="1709" s="9" customFormat="1"/>
    <row r="1710" s="9" customFormat="1"/>
    <row r="1711" s="9" customFormat="1"/>
    <row r="1712" s="9" customFormat="1"/>
    <row r="1713" s="9" customFormat="1"/>
    <row r="1714" s="9" customFormat="1"/>
    <row r="1715" s="9" customFormat="1"/>
    <row r="1716" s="9" customFormat="1"/>
    <row r="1717" s="9" customFormat="1"/>
    <row r="1718" s="9" customFormat="1"/>
    <row r="1719" s="9" customFormat="1"/>
    <row r="1720" s="9" customFormat="1"/>
    <row r="1721" s="9" customFormat="1"/>
    <row r="1722" s="9" customFormat="1"/>
    <row r="1723" s="9" customFormat="1"/>
    <row r="1724" s="9" customFormat="1"/>
    <row r="1725" s="9" customFormat="1"/>
    <row r="1726" s="6" customFormat="1"/>
    <row r="1727" s="6" customFormat="1"/>
    <row r="1728" s="6" customFormat="1"/>
    <row r="1729" s="6" customFormat="1"/>
    <row r="1730" s="6" customFormat="1"/>
    <row r="1731" s="6" customFormat="1"/>
    <row r="1732" s="6" customFormat="1"/>
    <row r="1733" s="6" customFormat="1"/>
    <row r="1734" s="6" customFormat="1"/>
    <row r="1735" s="6" customFormat="1"/>
    <row r="1736" s="6" customFormat="1"/>
    <row r="1737" s="6" customFormat="1"/>
    <row r="1738" s="6" customFormat="1"/>
    <row r="1739" s="6" customFormat="1"/>
    <row r="1740" s="6" customFormat="1"/>
    <row r="1741" s="6" customFormat="1"/>
    <row r="1742" s="6" customFormat="1"/>
    <row r="1743" s="6" customFormat="1"/>
    <row r="1744" s="6" customFormat="1"/>
    <row r="1745" s="6" customFormat="1"/>
    <row r="1746" s="6" customFormat="1"/>
    <row r="1747" s="6" customFormat="1"/>
    <row r="1748" s="6" customFormat="1"/>
    <row r="1749" s="6" customFormat="1"/>
    <row r="1750" s="6" customFormat="1"/>
    <row r="1751" s="6" customFormat="1"/>
    <row r="1752" s="6" customFormat="1"/>
    <row r="1753" s="6" customFormat="1"/>
    <row r="1754" s="6" customFormat="1"/>
    <row r="1755" s="6" customFormat="1"/>
    <row r="1756" s="6" customFormat="1"/>
    <row r="1757" s="6" customFormat="1"/>
    <row r="1758" s="6" customFormat="1"/>
    <row r="1759" s="6" customFormat="1"/>
    <row r="1760" s="6" customFormat="1"/>
    <row r="1761" s="6" customFormat="1"/>
    <row r="1762" s="6" customFormat="1"/>
    <row r="1763" s="6" customFormat="1"/>
    <row r="1764" s="6" customFormat="1"/>
    <row r="1765" s="6" customFormat="1"/>
    <row r="1766" s="6" customFormat="1"/>
    <row r="1767" s="6" customFormat="1"/>
    <row r="1768" s="6" customFormat="1"/>
    <row r="1769" s="6" customFormat="1"/>
    <row r="1770" s="6" customFormat="1"/>
    <row r="1771" s="6" customFormat="1"/>
    <row r="1772" s="6" customFormat="1"/>
    <row r="1773" s="6" customFormat="1"/>
    <row r="1774" s="6" customFormat="1"/>
    <row r="1775" s="6" customFormat="1"/>
    <row r="1776" s="6" customFormat="1"/>
    <row r="1777" s="6" customFormat="1"/>
    <row r="1778" s="6" customFormat="1"/>
    <row r="1779" s="6" customFormat="1"/>
    <row r="1780" s="6" customFormat="1"/>
    <row r="1781" s="6" customFormat="1"/>
    <row r="1782" s="6" customFormat="1"/>
    <row r="1783" s="6" customFormat="1"/>
    <row r="1784" s="6" customFormat="1"/>
    <row r="1785" s="6" customFormat="1"/>
    <row r="1786" s="6" customFormat="1"/>
    <row r="1787" s="6" customFormat="1"/>
    <row r="1788" s="6" customFormat="1"/>
    <row r="1789" s="6" customFormat="1"/>
    <row r="1790" s="6" customFormat="1"/>
    <row r="1791" s="6" customFormat="1"/>
    <row r="1792" s="6" customFormat="1"/>
    <row r="1793" s="6" customFormat="1"/>
    <row r="1794" s="6" customFormat="1"/>
    <row r="1795" s="6" customFormat="1"/>
    <row r="1796" s="6" customFormat="1"/>
    <row r="1797" s="6" customFormat="1"/>
    <row r="1798" s="6" customFormat="1"/>
    <row r="1799" s="6" customFormat="1"/>
    <row r="1800" s="6" customFormat="1"/>
    <row r="1801" s="6" customFormat="1"/>
    <row r="1802" s="6" customFormat="1"/>
    <row r="1803" s="6" customFormat="1"/>
    <row r="1804" s="6" customFormat="1"/>
    <row r="1805" s="6" customFormat="1"/>
    <row r="1806" s="6" customFormat="1"/>
    <row r="1807" s="6" customFormat="1"/>
    <row r="1808" s="6" customFormat="1"/>
    <row r="1809" s="6" customFormat="1"/>
    <row r="1810" s="6" customFormat="1"/>
    <row r="1811" s="6" customFormat="1"/>
    <row r="1812" s="6" customFormat="1"/>
    <row r="1813" s="6" customFormat="1"/>
    <row r="1814" s="6" customFormat="1"/>
    <row r="1815" s="6" customFormat="1"/>
    <row r="1816" s="6" customFormat="1"/>
    <row r="1817" s="6" customFormat="1"/>
    <row r="1818" s="6" customFormat="1"/>
    <row r="1819" s="6" customFormat="1"/>
    <row r="1820" s="6" customFormat="1"/>
    <row r="1821" s="6" customFormat="1"/>
    <row r="1822" s="6" customFormat="1"/>
    <row r="1823" s="6" customFormat="1"/>
    <row r="1824" s="6" customFormat="1"/>
    <row r="1825" s="6" customFormat="1"/>
    <row r="1826" s="6" customFormat="1"/>
    <row r="1827" s="6" customFormat="1"/>
    <row r="1828" s="6" customFormat="1"/>
    <row r="1829" s="6" customFormat="1"/>
    <row r="1830" s="6" customFormat="1"/>
    <row r="1831" s="6" customFormat="1"/>
    <row r="1832" s="6" customFormat="1"/>
    <row r="1833" s="6" customFormat="1"/>
    <row r="1834" s="6" customFormat="1"/>
    <row r="1835" s="6" customFormat="1"/>
    <row r="1836" s="6" customFormat="1"/>
    <row r="1837" s="6" customFormat="1"/>
    <row r="1838" s="6" customFormat="1"/>
    <row r="1839" s="6" customFormat="1"/>
    <row r="1840" s="6" customFormat="1"/>
    <row r="1841" s="6" customFormat="1"/>
    <row r="1842" s="6" customFormat="1"/>
    <row r="1843" s="6" customFormat="1"/>
    <row r="1844" s="6" customFormat="1"/>
    <row r="1845" s="6" customFormat="1"/>
    <row r="1846" s="6" customFormat="1"/>
    <row r="1847" s="6" customFormat="1"/>
    <row r="1848" s="6" customFormat="1"/>
    <row r="1849" s="6" customFormat="1"/>
    <row r="1850" s="6" customFormat="1"/>
    <row r="1851" s="6" customFormat="1"/>
    <row r="1852" s="6" customFormat="1"/>
    <row r="1853" s="6" customFormat="1"/>
    <row r="1854" s="6" customFormat="1"/>
    <row r="1855" s="6" customFormat="1"/>
    <row r="1856" s="6" customFormat="1"/>
    <row r="1857" s="6" customFormat="1"/>
    <row r="1858" s="6" customFormat="1"/>
    <row r="1859" s="6" customFormat="1"/>
    <row r="1860" s="6" customFormat="1"/>
    <row r="1861" s="6" customFormat="1"/>
    <row r="1862" s="6" customFormat="1"/>
    <row r="1863" s="6" customFormat="1"/>
    <row r="1864" s="6" customFormat="1"/>
    <row r="1865" s="6" customFormat="1"/>
    <row r="1866" s="6" customFormat="1"/>
    <row r="1867" s="6" customFormat="1"/>
    <row r="1868" s="6" customFormat="1"/>
    <row r="1869" s="6" customFormat="1"/>
    <row r="1870" s="6" customFormat="1"/>
    <row r="1871" s="6" customFormat="1"/>
    <row r="1872" s="6" customFormat="1"/>
    <row r="1873" s="6" customFormat="1"/>
    <row r="1874" s="6" customFormat="1"/>
    <row r="1875" s="6" customFormat="1"/>
    <row r="1876" s="6" customFormat="1"/>
    <row r="1877" s="6" customFormat="1"/>
    <row r="1878" s="6" customFormat="1"/>
    <row r="1879" s="6" customFormat="1"/>
    <row r="1880" s="6" customFormat="1"/>
    <row r="1881" s="6" customFormat="1"/>
    <row r="1882" s="6" customFormat="1"/>
    <row r="1883" s="6" customFormat="1"/>
    <row r="1884" s="6" customFormat="1"/>
    <row r="1885" s="6" customFormat="1"/>
    <row r="1886" s="6" customFormat="1"/>
    <row r="1887" s="6" customFormat="1"/>
    <row r="1888" s="6" customFormat="1"/>
    <row r="1889" s="6" customFormat="1"/>
    <row r="1890" s="6" customFormat="1"/>
    <row r="1891" s="6" customFormat="1"/>
    <row r="1892" s="6" customFormat="1"/>
    <row r="1893" s="6" customFormat="1"/>
    <row r="1894" s="6" customFormat="1"/>
    <row r="1895" s="6" customFormat="1"/>
    <row r="1896" s="6" customFormat="1"/>
    <row r="1897" s="6" customFormat="1"/>
    <row r="1898" s="6" customFormat="1"/>
    <row r="1899" s="6" customFormat="1"/>
    <row r="1900" s="6" customFormat="1"/>
    <row r="1901" s="6" customFormat="1"/>
    <row r="1902" s="6" customFormat="1"/>
    <row r="1903" s="6" customFormat="1"/>
    <row r="1904" s="6" customFormat="1"/>
    <row r="1905" s="6" customFormat="1"/>
    <row r="1906" s="6" customFormat="1"/>
    <row r="1907" s="6" customFormat="1"/>
    <row r="1908" s="6" customFormat="1"/>
    <row r="1909" s="6" customFormat="1"/>
    <row r="1910" s="6" customFormat="1"/>
    <row r="1911" s="6" customFormat="1"/>
    <row r="1912" s="6" customFormat="1"/>
    <row r="1913" s="6" customFormat="1"/>
    <row r="1914" s="6" customFormat="1"/>
    <row r="1915" s="6" customFormat="1"/>
    <row r="1916" s="6" customFormat="1"/>
    <row r="1917" s="6" customFormat="1"/>
    <row r="1918" s="6" customFormat="1"/>
    <row r="1919" s="6" customFormat="1"/>
    <row r="1920" s="6" customFormat="1"/>
    <row r="1921" s="6" customFormat="1"/>
    <row r="1922" s="6" customFormat="1"/>
    <row r="1923" s="6" customFormat="1"/>
    <row r="1924" s="6" customFormat="1"/>
    <row r="1925" s="6" customFormat="1"/>
    <row r="1926" s="6" customFormat="1"/>
    <row r="1927" s="6" customFormat="1"/>
    <row r="1928" s="6" customFormat="1"/>
    <row r="1929" s="6" customFormat="1"/>
    <row r="1930" s="6" customFormat="1"/>
    <row r="1931" s="6" customFormat="1"/>
    <row r="1932" s="6" customFormat="1"/>
    <row r="1933" s="6" customFormat="1"/>
    <row r="1934" s="6" customFormat="1"/>
    <row r="1935" s="6" customFormat="1"/>
    <row r="1936" s="6" customFormat="1"/>
    <row r="1937" s="6" customFormat="1"/>
    <row r="1938" s="6" customFormat="1"/>
    <row r="1939" s="6" customFormat="1"/>
    <row r="1940" s="6" customFormat="1"/>
    <row r="1941" s="6" customFormat="1"/>
    <row r="1942" s="6" customFormat="1"/>
    <row r="1943" s="6" customFormat="1"/>
    <row r="1944" s="6" customFormat="1"/>
    <row r="1945" s="6" customFormat="1"/>
    <row r="1946" s="6" customFormat="1"/>
    <row r="1947" s="6" customFormat="1"/>
    <row r="1948" s="6" customFormat="1"/>
    <row r="1949" s="6" customFormat="1"/>
    <row r="1950" s="6" customFormat="1"/>
    <row r="1951" s="6" customFormat="1"/>
    <row r="1952" s="6" customFormat="1"/>
    <row r="1953" s="6" customFormat="1"/>
    <row r="1954" s="6" customFormat="1"/>
    <row r="1955" s="6" customFormat="1"/>
    <row r="1956" s="6" customFormat="1"/>
    <row r="1957" s="6" customFormat="1"/>
    <row r="1958" s="6" customFormat="1"/>
    <row r="1959" s="6" customFormat="1"/>
    <row r="1960" s="6" customFormat="1"/>
    <row r="1961" s="6" customFormat="1"/>
    <row r="1962" s="6" customFormat="1"/>
    <row r="1963" s="6" customFormat="1"/>
    <row r="1964" s="6" customFormat="1"/>
    <row r="1965" s="6" customFormat="1"/>
    <row r="1966" s="6" customFormat="1"/>
    <row r="1967" s="6" customFormat="1"/>
    <row r="1968" s="6" customFormat="1"/>
    <row r="1969" s="6" customFormat="1"/>
    <row r="1970" s="6" customFormat="1"/>
    <row r="1971" s="6" customFormat="1"/>
    <row r="1972" s="6" customFormat="1"/>
    <row r="1973" s="6" customFormat="1"/>
    <row r="1974" s="6" customFormat="1"/>
    <row r="1975" s="6" customFormat="1"/>
    <row r="1976" s="6" customFormat="1"/>
    <row r="1977" s="6" customFormat="1"/>
    <row r="1978" s="6" customFormat="1"/>
    <row r="1979" s="6" customFormat="1"/>
    <row r="1980" s="6" customFormat="1"/>
    <row r="1981" s="6" customFormat="1"/>
    <row r="1982" s="6" customFormat="1"/>
    <row r="1983" s="6" customFormat="1"/>
    <row r="1984" s="6" customFormat="1"/>
    <row r="1985" s="6" customFormat="1"/>
    <row r="1986" s="6" customFormat="1"/>
    <row r="1987" s="6" customFormat="1"/>
    <row r="1988" s="6" customFormat="1"/>
    <row r="1989" s="6" customFormat="1"/>
    <row r="1990" s="6" customFormat="1"/>
    <row r="1991" s="6" customFormat="1"/>
    <row r="1992" s="6" customFormat="1"/>
    <row r="1993" s="6" customFormat="1"/>
    <row r="1994" s="6" customFormat="1"/>
    <row r="1995" s="6" customFormat="1"/>
    <row r="1996" s="6" customFormat="1"/>
    <row r="1997" s="6" customFormat="1"/>
    <row r="1998" s="6" customFormat="1"/>
    <row r="1999" s="6" customFormat="1"/>
    <row r="2000" s="6" customFormat="1"/>
    <row r="2001" s="6" customFormat="1"/>
    <row r="2002" s="6" customFormat="1"/>
    <row r="2003" s="6" customFormat="1"/>
    <row r="2004" s="6" customFormat="1"/>
    <row r="2005" s="6" customFormat="1"/>
    <row r="2006" s="6" customFormat="1"/>
    <row r="2007" s="6" customFormat="1"/>
    <row r="2008" s="6" customFormat="1"/>
    <row r="2009" s="6" customFormat="1"/>
    <row r="2010" s="6" customFormat="1"/>
    <row r="2011" s="6" customFormat="1"/>
    <row r="2012" s="6" customFormat="1"/>
    <row r="2013" s="6" customFormat="1"/>
    <row r="2014" s="6" customFormat="1"/>
    <row r="2015" s="6" customFormat="1"/>
    <row r="2016" s="6" customFormat="1"/>
    <row r="2017" s="6" customFormat="1"/>
    <row r="2018" s="6" customFormat="1"/>
    <row r="2019" s="6" customFormat="1"/>
    <row r="2020" s="6" customFormat="1"/>
    <row r="2021" s="6" customFormat="1"/>
    <row r="2022" s="6" customFormat="1"/>
    <row r="2023" s="6" customFormat="1"/>
    <row r="2024" s="6" customFormat="1"/>
    <row r="2025" s="6" customFormat="1"/>
    <row r="2026" s="6" customFormat="1"/>
    <row r="2027" s="6" customFormat="1"/>
    <row r="2028" s="6" customFormat="1"/>
    <row r="2029" s="6" customFormat="1"/>
    <row r="2030" s="6" customFormat="1"/>
    <row r="2031" s="6" customFormat="1"/>
    <row r="2032" s="6" customFormat="1"/>
    <row r="2033" s="6" customFormat="1"/>
    <row r="2034" s="6" customFormat="1"/>
    <row r="2035" s="6" customFormat="1"/>
    <row r="2036" s="6" customFormat="1"/>
    <row r="2037" s="6" customFormat="1"/>
    <row r="2038" s="6" customFormat="1"/>
    <row r="2039" s="6" customFormat="1"/>
    <row r="2040" s="6" customFormat="1"/>
    <row r="2041" s="6" customFormat="1"/>
    <row r="2042" s="6" customFormat="1"/>
    <row r="2043" s="6" customFormat="1"/>
    <row r="2044" s="6" customFormat="1"/>
    <row r="2045" s="6" customFormat="1"/>
    <row r="2046" s="6" customFormat="1"/>
    <row r="2047" s="6" customFormat="1"/>
    <row r="2048" s="6" customFormat="1"/>
    <row r="2049" s="6" customFormat="1"/>
    <row r="2050" s="6" customFormat="1"/>
    <row r="2051" s="6" customFormat="1"/>
    <row r="2052" s="6" customFormat="1"/>
    <row r="2053" s="6" customFormat="1"/>
    <row r="2054" s="6" customFormat="1"/>
    <row r="2055" s="6" customFormat="1"/>
    <row r="2056" s="6" customFormat="1"/>
    <row r="2057" s="6" customFormat="1"/>
    <row r="2058" s="6" customFormat="1"/>
    <row r="2059" s="6" customFormat="1"/>
    <row r="2060" s="6" customFormat="1"/>
    <row r="2061" s="6" customFormat="1"/>
    <row r="2062" s="6" customFormat="1"/>
    <row r="2063" s="6" customFormat="1"/>
    <row r="2064" s="6" customFormat="1"/>
    <row r="2065" s="6" customFormat="1"/>
    <row r="2066" s="6" customFormat="1"/>
    <row r="2067" s="6" customFormat="1"/>
    <row r="2068" s="6" customFormat="1"/>
    <row r="2069" s="6" customFormat="1"/>
    <row r="2070" s="6" customFormat="1"/>
    <row r="2071" s="6" customFormat="1"/>
    <row r="2072" s="6" customFormat="1"/>
    <row r="2073" s="6" customFormat="1"/>
    <row r="2074" s="6" customFormat="1"/>
    <row r="2075" s="6" customFormat="1"/>
    <row r="2076" s="6" customFormat="1"/>
    <row r="2077" s="6" customFormat="1"/>
    <row r="2078" s="6" customFormat="1"/>
    <row r="2079" s="6" customFormat="1"/>
    <row r="2080" s="6" customFormat="1"/>
    <row r="2081" s="6" customFormat="1"/>
    <row r="2082" s="6" customFormat="1"/>
    <row r="2083" s="6" customFormat="1"/>
    <row r="2084" s="6" customFormat="1"/>
    <row r="2085" s="6" customFormat="1"/>
    <row r="2086" s="6" customFormat="1"/>
    <row r="2087" s="6" customFormat="1"/>
    <row r="2088" s="6" customFormat="1"/>
    <row r="2089" s="6" customFormat="1"/>
    <row r="2090" s="6" customFormat="1"/>
    <row r="2091" s="6" customFormat="1"/>
    <row r="2092" s="6" customFormat="1"/>
    <row r="2093" s="6" customFormat="1"/>
    <row r="2094" s="6" customFormat="1"/>
    <row r="2095" s="6" customFormat="1"/>
    <row r="2096" s="6" customFormat="1"/>
    <row r="2097" s="6" customFormat="1"/>
    <row r="2098" s="6" customFormat="1"/>
    <row r="2099" s="6" customFormat="1"/>
    <row r="2100" s="6" customFormat="1"/>
    <row r="2101" s="6" customFormat="1"/>
    <row r="2102" s="6" customFormat="1"/>
    <row r="2103" s="6" customFormat="1"/>
    <row r="2104" s="6" customFormat="1"/>
    <row r="2105" s="6" customFormat="1"/>
    <row r="2106" s="6" customFormat="1"/>
    <row r="2107" s="6" customFormat="1"/>
    <row r="2108" s="6" customFormat="1"/>
    <row r="2109" s="6" customFormat="1"/>
    <row r="2110" s="6" customFormat="1"/>
    <row r="2111" s="6" customFormat="1"/>
    <row r="2112" s="6" customFormat="1"/>
    <row r="2113" s="6" customFormat="1"/>
    <row r="2114" s="6" customFormat="1"/>
    <row r="2115" s="6" customFormat="1"/>
    <row r="2116" s="6" customFormat="1"/>
    <row r="2117" s="6" customFormat="1"/>
    <row r="2118" s="6" customFormat="1"/>
    <row r="2119" s="6" customFormat="1"/>
    <row r="2120" s="6" customFormat="1"/>
    <row r="2121" s="6" customFormat="1"/>
    <row r="2122" s="6" customFormat="1"/>
    <row r="2123" s="6" customFormat="1"/>
    <row r="2124" s="6" customFormat="1"/>
    <row r="2125" s="6" customFormat="1"/>
    <row r="2126" s="6" customFormat="1"/>
    <row r="2127" s="6" customFormat="1"/>
    <row r="2128" s="6" customFormat="1"/>
    <row r="2129" s="6" customFormat="1"/>
    <row r="2130" s="6" customFormat="1"/>
    <row r="2131" s="6" customFormat="1"/>
    <row r="2132" s="6" customFormat="1"/>
    <row r="2133" s="6" customFormat="1"/>
    <row r="2134" s="6" customFormat="1"/>
    <row r="2135" s="6" customFormat="1"/>
    <row r="2136" s="6" customFormat="1"/>
    <row r="2137" s="6" customFormat="1"/>
    <row r="2138" s="6" customFormat="1"/>
    <row r="2139" s="6" customFormat="1"/>
    <row r="2140" s="6" customFormat="1"/>
    <row r="2141" s="6" customFormat="1"/>
    <row r="2142" s="6" customFormat="1"/>
    <row r="2143" s="6" customFormat="1"/>
    <row r="2144" s="6" customFormat="1"/>
    <row r="2145" s="6" customFormat="1"/>
    <row r="2146" s="6" customFormat="1"/>
    <row r="2147" s="6" customFormat="1"/>
    <row r="2148" s="6" customFormat="1"/>
    <row r="2149" s="6" customFormat="1"/>
    <row r="2150" s="6" customFormat="1"/>
    <row r="2151" s="6" customFormat="1"/>
    <row r="2152" s="6" customFormat="1"/>
    <row r="2153" s="6" customFormat="1"/>
    <row r="2154" s="6" customFormat="1"/>
    <row r="2155" s="6" customFormat="1"/>
    <row r="2156" s="6" customFormat="1"/>
    <row r="2157" s="6" customFormat="1"/>
    <row r="2158" s="6" customFormat="1"/>
    <row r="2159" s="6" customFormat="1"/>
    <row r="2160" s="6" customFormat="1"/>
    <row r="2161" s="6" customFormat="1"/>
    <row r="2162" s="6" customFormat="1"/>
    <row r="2163" s="6" customFormat="1"/>
    <row r="2164" s="6" customFormat="1"/>
    <row r="2165" s="6" customFormat="1"/>
    <row r="2166" s="6" customFormat="1"/>
    <row r="2167" s="6" customFormat="1"/>
    <row r="2168" s="6" customFormat="1"/>
    <row r="2169" s="6" customFormat="1"/>
    <row r="2170" s="6" customFormat="1"/>
    <row r="2171" s="6" customFormat="1"/>
    <row r="2172" s="6" customFormat="1"/>
    <row r="2173" s="6" customFormat="1"/>
    <row r="2174" s="6" customFormat="1"/>
    <row r="2175" s="6" customFormat="1"/>
    <row r="2176" s="6" customFormat="1"/>
    <row r="2177" s="6" customFormat="1"/>
    <row r="2178" s="6" customFormat="1"/>
    <row r="2179" s="6" customFormat="1"/>
    <row r="2180" s="6" customFormat="1"/>
    <row r="2181" s="6" customFormat="1"/>
    <row r="2182" s="6" customFormat="1"/>
    <row r="2183" s="6" customFormat="1"/>
    <row r="2184" s="6" customFormat="1"/>
    <row r="2185" s="6" customFormat="1"/>
    <row r="2186" s="6" customFormat="1"/>
    <row r="2187" s="6" customFormat="1"/>
    <row r="2188" s="6" customFormat="1"/>
    <row r="2189" s="6" customFormat="1"/>
    <row r="2190" s="6" customFormat="1"/>
    <row r="2191" s="6" customFormat="1"/>
    <row r="2192" s="6" customFormat="1"/>
    <row r="2193" s="6" customFormat="1"/>
    <row r="2194" s="6" customFormat="1"/>
    <row r="2195" s="6" customFormat="1"/>
    <row r="2196" s="6" customFormat="1"/>
    <row r="2197" s="6" customFormat="1"/>
    <row r="2198" s="6" customFormat="1"/>
    <row r="2199" s="6" customFormat="1"/>
    <row r="2200" s="6" customFormat="1"/>
    <row r="2201" s="6" customFormat="1"/>
    <row r="2202" s="6" customFormat="1"/>
    <row r="2203" s="6" customFormat="1"/>
    <row r="2204" s="6" customFormat="1"/>
    <row r="2205" s="6" customFormat="1"/>
    <row r="2206" s="6" customFormat="1"/>
    <row r="2207" s="6" customFormat="1"/>
    <row r="2208" s="6" customFormat="1"/>
    <row r="2209" s="6" customFormat="1"/>
    <row r="2210" s="6" customFormat="1"/>
    <row r="2211" s="6" customFormat="1"/>
    <row r="2212" s="6" customFormat="1"/>
    <row r="2213" s="6" customFormat="1"/>
    <row r="2214" s="6" customFormat="1"/>
    <row r="2215" s="6" customFormat="1"/>
    <row r="2216" s="6" customFormat="1"/>
    <row r="2217" s="6" customFormat="1"/>
    <row r="2218" s="6" customFormat="1"/>
    <row r="2219" s="6" customFormat="1"/>
    <row r="2220" s="6" customFormat="1"/>
    <row r="2221" s="6" customFormat="1"/>
    <row r="2222" s="6" customFormat="1"/>
    <row r="2223" s="6" customFormat="1"/>
    <row r="2224" s="6" customFormat="1"/>
    <row r="2225" s="6" customFormat="1"/>
    <row r="2226" s="6" customFormat="1"/>
    <row r="2227" s="6" customFormat="1"/>
    <row r="2228" s="6" customFormat="1"/>
    <row r="2229" s="6" customFormat="1"/>
    <row r="2230" s="6" customFormat="1"/>
    <row r="2231" s="6" customFormat="1"/>
    <row r="2232" s="6" customFormat="1"/>
    <row r="2233" s="6" customFormat="1"/>
    <row r="2234" s="6" customFormat="1"/>
    <row r="2235" s="6" customFormat="1"/>
    <row r="2236" s="6" customFormat="1"/>
    <row r="2237" s="6" customFormat="1"/>
    <row r="2238" s="6" customFormat="1"/>
    <row r="2239" s="6" customFormat="1"/>
    <row r="2240" s="6" customFormat="1"/>
    <row r="2241" s="6" customFormat="1"/>
    <row r="2242" s="6" customFormat="1"/>
    <row r="2243" s="6" customFormat="1"/>
    <row r="2244" s="6" customFormat="1"/>
    <row r="2245" s="6" customFormat="1"/>
    <row r="2246" s="6" customFormat="1"/>
    <row r="2247" s="6" customFormat="1"/>
    <row r="2248" s="6" customFormat="1"/>
    <row r="2249" s="6" customFormat="1"/>
    <row r="2250" s="6" customFormat="1"/>
    <row r="2251" s="6" customFormat="1"/>
    <row r="2252" s="6" customFormat="1"/>
    <row r="2253" s="6" customFormat="1"/>
    <row r="2254" s="6" customFormat="1"/>
    <row r="2255" s="6" customFormat="1"/>
    <row r="2256" s="6" customFormat="1"/>
    <row r="2257" s="6" customFormat="1"/>
    <row r="2258" s="6" customFormat="1"/>
    <row r="2259" s="6" customFormat="1"/>
    <row r="2260" s="6" customFormat="1"/>
    <row r="2261" s="6" customFormat="1"/>
    <row r="2262" s="6" customFormat="1"/>
    <row r="2263" s="6" customFormat="1"/>
    <row r="2264" s="6" customFormat="1"/>
    <row r="2265" s="6" customFormat="1"/>
    <row r="2266" s="6" customFormat="1"/>
    <row r="2267" s="6" customFormat="1"/>
    <row r="2268" s="6" customFormat="1"/>
    <row r="2269" s="6" customFormat="1"/>
    <row r="2270" s="6" customFormat="1"/>
    <row r="2271" s="6" customFormat="1"/>
    <row r="2272" s="6" customFormat="1"/>
    <row r="2273" s="6" customFormat="1"/>
    <row r="2274" s="6" customFormat="1"/>
    <row r="2275" s="6" customFormat="1"/>
    <row r="2276" s="6" customFormat="1"/>
    <row r="2277" s="6" customFormat="1"/>
    <row r="2278" s="6" customFormat="1"/>
    <row r="2279" s="6" customFormat="1"/>
    <row r="2280" s="6" customFormat="1"/>
    <row r="2281" s="6" customFormat="1"/>
    <row r="2282" s="6" customFormat="1"/>
    <row r="2283" s="6" customFormat="1"/>
    <row r="2284" s="6" customFormat="1"/>
    <row r="2285" s="6" customFormat="1"/>
    <row r="2286" s="6" customFormat="1"/>
    <row r="2287" s="6" customFormat="1"/>
    <row r="2288" s="6" customFormat="1"/>
    <row r="2289" s="6" customFormat="1"/>
    <row r="2290" s="6" customFormat="1"/>
    <row r="2291" s="6" customFormat="1"/>
    <row r="2292" s="6" customFormat="1"/>
    <row r="2293" s="6" customFormat="1"/>
    <row r="2294" s="6" customFormat="1"/>
    <row r="2295" s="6" customFormat="1"/>
    <row r="2296" s="6" customFormat="1"/>
    <row r="2297" s="6" customFormat="1"/>
    <row r="2298" s="6" customFormat="1"/>
    <row r="2299" s="6" customFormat="1"/>
    <row r="2300" s="6" customFormat="1"/>
    <row r="2301" s="6" customFormat="1"/>
    <row r="2302" s="6" customFormat="1"/>
    <row r="2303" s="6" customFormat="1"/>
    <row r="2304" s="6" customFormat="1"/>
    <row r="2305" s="6" customFormat="1"/>
    <row r="2306" s="6" customFormat="1"/>
    <row r="2307" s="6" customFormat="1"/>
    <row r="2308" s="6" customFormat="1"/>
    <row r="2309" s="6" customFormat="1"/>
    <row r="2310" s="6" customFormat="1"/>
    <row r="2311" s="6" customFormat="1"/>
    <row r="2312" s="6" customFormat="1"/>
    <row r="2313" s="6" customFormat="1"/>
    <row r="2314" s="6" customFormat="1"/>
    <row r="2315" s="6" customFormat="1"/>
    <row r="2316" s="6" customFormat="1"/>
    <row r="2317" s="6" customFormat="1"/>
    <row r="2318" s="6" customFormat="1"/>
    <row r="2319" s="6" customFormat="1"/>
    <row r="2320" s="6" customFormat="1"/>
    <row r="2321" s="6" customFormat="1"/>
    <row r="2322" s="6" customFormat="1"/>
    <row r="2323" s="6" customFormat="1"/>
    <row r="2324" s="6" customFormat="1"/>
    <row r="2325" s="6" customFormat="1"/>
    <row r="2326" s="6" customFormat="1"/>
    <row r="2327" s="6" customFormat="1"/>
    <row r="2328" s="6" customFormat="1"/>
    <row r="2329" s="6" customFormat="1"/>
    <row r="2330" s="6" customFormat="1"/>
    <row r="2331" s="6" customFormat="1"/>
    <row r="2332" s="6" customFormat="1"/>
    <row r="2333" s="6" customFormat="1"/>
    <row r="2334" s="6" customFormat="1"/>
    <row r="2335" s="6" customFormat="1"/>
    <row r="2336" s="6" customFormat="1"/>
    <row r="2337" s="6" customFormat="1"/>
    <row r="2338" s="6" customFormat="1"/>
    <row r="2339" s="6" customFormat="1"/>
    <row r="2340" s="6" customFormat="1"/>
    <row r="2341" s="6" customFormat="1"/>
    <row r="2342" s="6" customFormat="1"/>
    <row r="2343" s="6" customFormat="1"/>
    <row r="2344" s="6" customFormat="1"/>
    <row r="2345" s="6" customFormat="1"/>
    <row r="2346" s="6" customFormat="1"/>
    <row r="2347" s="6" customFormat="1"/>
    <row r="2348" s="6" customFormat="1"/>
    <row r="2349" s="6" customFormat="1"/>
    <row r="2350" s="6" customFormat="1"/>
    <row r="2351" s="6" customFormat="1"/>
    <row r="2352" s="6" customFormat="1"/>
    <row r="2353" s="6" customFormat="1"/>
    <row r="2354" s="6" customFormat="1"/>
    <row r="2355" s="6" customFormat="1"/>
    <row r="2356" s="6" customFormat="1"/>
    <row r="2357" s="6" customFormat="1"/>
    <row r="2358" s="6" customFormat="1"/>
    <row r="2359" s="6" customFormat="1"/>
    <row r="2360" s="6" customFormat="1"/>
    <row r="2361" s="6" customFormat="1"/>
    <row r="2362" s="6" customFormat="1"/>
    <row r="2363" s="6" customFormat="1"/>
    <row r="2364" s="6" customFormat="1"/>
    <row r="2365" s="6" customFormat="1"/>
    <row r="2366" s="6" customFormat="1"/>
    <row r="2367" s="6" customFormat="1"/>
    <row r="2368" s="6" customFormat="1"/>
    <row r="2369" s="6" customFormat="1"/>
    <row r="2370" s="6" customFormat="1"/>
    <row r="2371" s="6" customFormat="1"/>
    <row r="2372" s="6" customFormat="1"/>
    <row r="2373" s="6" customFormat="1"/>
    <row r="2374" s="6" customFormat="1"/>
    <row r="2375" s="6" customFormat="1"/>
    <row r="2376" s="6" customFormat="1"/>
    <row r="2377" s="6" customFormat="1"/>
    <row r="2378" s="6" customFormat="1"/>
    <row r="2379" s="6" customFormat="1"/>
    <row r="2380" s="6" customFormat="1"/>
    <row r="2381" s="6" customFormat="1"/>
    <row r="2382" s="6" customFormat="1"/>
    <row r="2383" s="6" customFormat="1"/>
    <row r="2384" s="6" customFormat="1"/>
    <row r="2385" s="6" customFormat="1"/>
    <row r="2386" s="6" customFormat="1"/>
    <row r="2387" s="6" customFormat="1"/>
    <row r="2388" s="6" customFormat="1"/>
    <row r="2389" s="6" customFormat="1"/>
    <row r="2390" s="6" customFormat="1"/>
    <row r="2391" s="6" customFormat="1"/>
    <row r="2392" s="6" customFormat="1"/>
    <row r="2393" s="6" customFormat="1"/>
    <row r="2394" s="6" customFormat="1"/>
    <row r="2395" s="6" customFormat="1"/>
    <row r="2396" s="6" customFormat="1"/>
    <row r="2397" s="6" customFormat="1"/>
    <row r="2398" s="6" customFormat="1"/>
    <row r="2399" s="6" customFormat="1"/>
    <row r="2400" s="6" customFormat="1"/>
    <row r="2401" s="6" customFormat="1"/>
    <row r="2402" s="6" customFormat="1"/>
    <row r="2403" s="6" customFormat="1"/>
    <row r="2404" s="6" customFormat="1"/>
    <row r="2405" s="6" customFormat="1"/>
    <row r="2406" s="6" customFormat="1"/>
    <row r="2407" s="6" customFormat="1"/>
    <row r="2408" s="6" customFormat="1"/>
    <row r="2409" s="6" customFormat="1"/>
    <row r="2410" s="6" customFormat="1"/>
    <row r="2411" s="6" customFormat="1"/>
    <row r="2412" s="6" customFormat="1"/>
    <row r="2413" s="6" customFormat="1"/>
    <row r="2414" s="6" customFormat="1"/>
    <row r="2415" s="6" customFormat="1"/>
    <row r="2416" s="6" customFormat="1"/>
    <row r="2417" s="6" customFormat="1"/>
    <row r="2418" s="6" customFormat="1"/>
    <row r="2419" s="6" customFormat="1"/>
    <row r="2420" s="6" customFormat="1"/>
    <row r="2421" s="6" customFormat="1"/>
    <row r="2422" s="6" customFormat="1"/>
    <row r="2423" s="6" customFormat="1"/>
    <row r="2424" s="6" customFormat="1"/>
    <row r="2425" s="6" customFormat="1"/>
    <row r="2426" s="6" customFormat="1"/>
    <row r="2427" s="6" customFormat="1"/>
    <row r="2428" s="6" customFormat="1"/>
    <row r="2429" s="6" customFormat="1"/>
    <row r="2430" s="6" customFormat="1"/>
    <row r="2431" s="6" customFormat="1"/>
    <row r="2432" s="6" customFormat="1"/>
    <row r="2433" s="6" customFormat="1"/>
    <row r="2434" s="6" customFormat="1"/>
    <row r="2435" s="6" customFormat="1"/>
    <row r="2436" s="6" customFormat="1"/>
    <row r="2437" s="6" customFormat="1"/>
    <row r="2438" s="6" customFormat="1"/>
    <row r="2439" s="6" customFormat="1"/>
    <row r="2440" s="6" customFormat="1"/>
    <row r="2441" s="6" customFormat="1"/>
    <row r="2442" s="6" customFormat="1"/>
    <row r="2443" s="6" customFormat="1"/>
    <row r="2444" s="6" customFormat="1"/>
    <row r="2445" s="6" customFormat="1"/>
    <row r="2446" s="6" customFormat="1"/>
    <row r="2447" s="6" customFormat="1"/>
    <row r="2448" s="6" customFormat="1"/>
    <row r="2449" s="6" customFormat="1"/>
    <row r="2450" s="6" customFormat="1"/>
    <row r="2451" s="6" customFormat="1"/>
    <row r="2452" s="6" customFormat="1"/>
    <row r="2453" s="6" customFormat="1"/>
    <row r="2454" s="6" customFormat="1"/>
    <row r="2455" s="6" customFormat="1"/>
    <row r="2456" s="6" customFormat="1"/>
    <row r="2457" s="6" customFormat="1"/>
    <row r="2458" s="6" customFormat="1"/>
    <row r="2459" s="6" customFormat="1"/>
    <row r="2460" s="6" customFormat="1"/>
    <row r="2461" s="6" customFormat="1"/>
    <row r="2462" s="6" customFormat="1"/>
    <row r="2463" s="6" customFormat="1"/>
    <row r="2464" s="6" customFormat="1"/>
    <row r="2465" s="6" customFormat="1"/>
    <row r="2466" s="6" customFormat="1"/>
    <row r="2467" s="6" customFormat="1"/>
    <row r="2468" s="6" customFormat="1"/>
    <row r="2469" s="6" customFormat="1"/>
    <row r="2470" s="6" customFormat="1"/>
    <row r="2471" s="6" customFormat="1"/>
    <row r="2472" s="6" customFormat="1"/>
    <row r="2473" s="6" customFormat="1"/>
    <row r="2474" s="6" customFormat="1"/>
    <row r="2475" s="6" customFormat="1"/>
    <row r="2476" s="6" customFormat="1"/>
    <row r="2477" s="6" customFormat="1"/>
    <row r="2478" s="6" customFormat="1"/>
    <row r="2479" s="6" customFormat="1"/>
    <row r="2480" s="6" customFormat="1"/>
    <row r="2481" s="6" customFormat="1"/>
    <row r="2482" s="6" customFormat="1"/>
    <row r="2483" s="6" customFormat="1"/>
    <row r="2484" s="6" customFormat="1"/>
    <row r="2485" s="6" customFormat="1"/>
    <row r="2486" s="6" customFormat="1"/>
    <row r="2487" s="6" customFormat="1"/>
    <row r="2488" s="6" customFormat="1"/>
    <row r="2489" s="6" customFormat="1"/>
    <row r="2490" s="6" customFormat="1"/>
    <row r="2491" s="6" customFormat="1"/>
    <row r="2492" s="6" customFormat="1"/>
    <row r="2493" s="6" customFormat="1"/>
    <row r="2494" s="6" customFormat="1"/>
    <row r="2495" s="6" customFormat="1"/>
    <row r="2496" s="6" customFormat="1"/>
    <row r="2497" s="6" customFormat="1"/>
    <row r="2498" s="6" customFormat="1"/>
    <row r="2499" s="6" customFormat="1"/>
    <row r="2500" s="6" customFormat="1"/>
    <row r="2501" s="6" customFormat="1"/>
    <row r="2502" s="6" customFormat="1"/>
    <row r="2503" s="6" customFormat="1"/>
    <row r="2504" s="6" customFormat="1"/>
    <row r="2505" s="6" customFormat="1"/>
    <row r="2506" s="6" customFormat="1"/>
    <row r="2507" s="6" customFormat="1"/>
    <row r="2508" s="6" customFormat="1"/>
    <row r="2509" s="6" customFormat="1"/>
    <row r="2510" s="6" customFormat="1"/>
    <row r="2511" s="6" customFormat="1"/>
    <row r="2512" s="6" customFormat="1"/>
    <row r="2513" s="6" customFormat="1"/>
    <row r="2514" s="6" customFormat="1"/>
    <row r="2515" s="6" customFormat="1"/>
    <row r="2516" s="6" customFormat="1"/>
    <row r="2517" s="6" customFormat="1"/>
    <row r="2518" s="6" customFormat="1"/>
    <row r="2519" s="6" customFormat="1"/>
    <row r="2520" s="6" customFormat="1"/>
    <row r="2521" s="6" customFormat="1"/>
    <row r="2522" s="6" customFormat="1"/>
    <row r="2523" s="6" customFormat="1"/>
    <row r="2524" s="6" customFormat="1"/>
    <row r="2525" s="6" customFormat="1"/>
    <row r="2526" s="6" customFormat="1"/>
    <row r="2527" s="6" customFormat="1"/>
    <row r="2528" s="6" customFormat="1"/>
    <row r="2529" s="6" customFormat="1"/>
    <row r="2530" s="6" customFormat="1"/>
    <row r="2531" s="6" customFormat="1"/>
    <row r="2532" s="6" customFormat="1"/>
    <row r="2533" s="6" customFormat="1"/>
    <row r="2534" s="6" customFormat="1"/>
    <row r="2535" s="6" customFormat="1"/>
    <row r="2536" s="6" customFormat="1"/>
    <row r="2537" s="6" customFormat="1"/>
    <row r="2538" s="6" customFormat="1"/>
    <row r="2539" s="6" customFormat="1"/>
    <row r="2540" s="6" customFormat="1"/>
    <row r="2541" s="6" customFormat="1"/>
    <row r="2542" s="6" customFormat="1"/>
    <row r="2543" s="6" customFormat="1"/>
    <row r="2544" s="6" customFormat="1"/>
    <row r="2545" s="6" customFormat="1"/>
    <row r="2546" s="6" customFormat="1"/>
    <row r="2547" s="6" customFormat="1"/>
    <row r="2548" s="6" customFormat="1"/>
    <row r="2549" s="6" customFormat="1"/>
    <row r="2550" s="6" customFormat="1"/>
    <row r="2551" s="6" customFormat="1"/>
    <row r="2552" s="6" customFormat="1"/>
    <row r="2553" s="6" customFormat="1"/>
    <row r="2554" s="6" customFormat="1"/>
    <row r="2555" s="6" customFormat="1"/>
    <row r="2556" s="6" customFormat="1"/>
    <row r="2557" s="6" customFormat="1"/>
    <row r="2558" s="6" customFormat="1"/>
    <row r="2559" s="6" customFormat="1"/>
    <row r="2560" s="6" customFormat="1"/>
    <row r="2561" s="6" customFormat="1"/>
    <row r="2562" s="6" customFormat="1"/>
    <row r="2563" s="6" customFormat="1"/>
    <row r="2564" s="6" customFormat="1"/>
    <row r="2565" s="6" customFormat="1"/>
    <row r="2566" s="6" customFormat="1"/>
    <row r="2567" s="6" customFormat="1"/>
    <row r="2568" s="6" customFormat="1"/>
    <row r="2569" s="6" customFormat="1"/>
    <row r="2570" s="6" customFormat="1"/>
    <row r="2571" s="6" customFormat="1"/>
    <row r="2572" s="6" customFormat="1"/>
    <row r="2573" s="6" customFormat="1"/>
    <row r="2574" s="6" customFormat="1"/>
    <row r="2575" s="6" customFormat="1"/>
    <row r="2576" s="6" customFormat="1"/>
    <row r="2577" s="6" customFormat="1"/>
    <row r="2578" s="6" customFormat="1"/>
    <row r="2579" s="6" customFormat="1"/>
    <row r="2580" s="6" customFormat="1"/>
    <row r="2581" s="6" customFormat="1"/>
    <row r="2582" s="6" customFormat="1"/>
    <row r="2583" s="6" customFormat="1"/>
    <row r="2584" s="6" customFormat="1"/>
    <row r="2585" s="6" customFormat="1"/>
    <row r="2586" s="6" customFormat="1"/>
    <row r="2587" s="6" customFormat="1"/>
    <row r="2588" s="6" customFormat="1"/>
    <row r="2589" s="6" customFormat="1"/>
    <row r="2590" s="6" customFormat="1"/>
    <row r="2591" s="6" customFormat="1"/>
    <row r="2592" s="6" customFormat="1"/>
    <row r="2593" s="6" customFormat="1"/>
    <row r="2594" s="6" customFormat="1"/>
    <row r="2595" s="6" customFormat="1"/>
    <row r="2596" s="6" customFormat="1"/>
    <row r="2597" s="6" customFormat="1"/>
    <row r="2598" s="6" customFormat="1"/>
    <row r="2599" s="6" customFormat="1"/>
    <row r="2600" s="6" customFormat="1"/>
    <row r="2601" s="6" customFormat="1"/>
    <row r="2602" s="6" customFormat="1"/>
    <row r="2603" s="6" customFormat="1"/>
    <row r="2604" s="6" customFormat="1"/>
    <row r="2605" s="6" customFormat="1"/>
    <row r="2606" s="6" customFormat="1"/>
    <row r="2607" s="6" customFormat="1"/>
    <row r="2608" s="6" customFormat="1"/>
    <row r="2609" s="6" customFormat="1"/>
    <row r="2610" s="6" customFormat="1"/>
    <row r="2611" s="6" customFormat="1"/>
    <row r="2612" s="6" customFormat="1"/>
    <row r="2613" s="6" customFormat="1"/>
    <row r="2614" s="6" customFormat="1"/>
    <row r="2615" s="6" customFormat="1"/>
    <row r="2616" s="6" customFormat="1"/>
    <row r="2617" s="6" customFormat="1"/>
    <row r="2618" s="6" customFormat="1"/>
    <row r="2619" s="6" customFormat="1"/>
    <row r="2620" s="6" customFormat="1"/>
    <row r="2621" s="6" customFormat="1"/>
    <row r="2622" s="6" customFormat="1"/>
    <row r="2623" s="6" customFormat="1"/>
    <row r="2624" s="6" customFormat="1"/>
    <row r="2625" s="6" customFormat="1"/>
    <row r="2626" s="6" customFormat="1"/>
    <row r="2627" s="6" customFormat="1"/>
    <row r="2628" s="6" customFormat="1"/>
    <row r="2629" s="6" customFormat="1"/>
    <row r="2630" s="6" customFormat="1"/>
    <row r="2631" s="6" customFormat="1"/>
    <row r="2632" s="6" customFormat="1"/>
    <row r="2633" s="6" customFormat="1"/>
    <row r="2634" s="6" customFormat="1"/>
    <row r="2635" s="6" customFormat="1"/>
    <row r="2636" s="6" customFormat="1"/>
    <row r="2637" s="6" customFormat="1"/>
    <row r="2638" s="6" customFormat="1"/>
    <row r="2639" s="6" customFormat="1"/>
    <row r="2640" s="6" customFormat="1"/>
    <row r="2641" s="6" customFormat="1"/>
    <row r="2642" s="6" customFormat="1"/>
    <row r="2643" s="6" customFormat="1"/>
    <row r="2644" s="6" customFormat="1"/>
    <row r="2645" s="6" customFormat="1"/>
    <row r="2646" s="6" customFormat="1"/>
    <row r="2647" s="6" customFormat="1"/>
    <row r="2648" s="6" customFormat="1"/>
    <row r="2649" s="6" customFormat="1"/>
    <row r="2650" s="6" customFormat="1"/>
    <row r="2651" s="6" customFormat="1"/>
    <row r="2652" s="6" customFormat="1"/>
    <row r="2653" s="6" customFormat="1"/>
    <row r="2654" s="6" customFormat="1"/>
    <row r="2655" s="6" customFormat="1"/>
    <row r="2656" s="6" customFormat="1"/>
    <row r="2657" s="6" customFormat="1"/>
    <row r="2658" s="6" customFormat="1"/>
    <row r="2659" s="6" customFormat="1"/>
    <row r="2660" s="6" customFormat="1"/>
    <row r="2661" s="6" customFormat="1"/>
    <row r="2662" s="6" customFormat="1"/>
    <row r="2663" s="6" customFormat="1"/>
    <row r="2664" s="6" customFormat="1"/>
    <row r="2665" s="6" customFormat="1"/>
    <row r="2666" s="6" customFormat="1"/>
    <row r="2667" s="6" customFormat="1"/>
    <row r="2668" s="6" customFormat="1"/>
    <row r="2669" s="6" customFormat="1"/>
    <row r="2670" s="6" customFormat="1"/>
    <row r="2671" s="6" customFormat="1"/>
    <row r="2672" s="6" customFormat="1"/>
    <row r="2673" s="6" customFormat="1"/>
    <row r="2674" s="6" customFormat="1"/>
    <row r="2675" s="6" customFormat="1"/>
    <row r="2676" s="6" customFormat="1"/>
    <row r="2677" s="6" customFormat="1"/>
    <row r="2678" s="6" customFormat="1"/>
    <row r="2679" s="6" customFormat="1"/>
    <row r="2680" s="6" customFormat="1"/>
    <row r="2681" s="6" customFormat="1"/>
    <row r="2682" s="6" customFormat="1"/>
    <row r="2683" s="6" customFormat="1"/>
    <row r="2684" s="6" customFormat="1"/>
    <row r="2685" s="6" customFormat="1"/>
    <row r="2686" s="6" customFormat="1"/>
    <row r="2687" s="6" customFormat="1"/>
    <row r="2688" s="6" customFormat="1"/>
    <row r="2689" s="6" customFormat="1"/>
    <row r="2690" s="6" customFormat="1"/>
    <row r="2691" s="6" customFormat="1"/>
    <row r="2692" s="6" customFormat="1"/>
    <row r="2693" s="6" customFormat="1"/>
    <row r="2694" s="6" customFormat="1"/>
    <row r="2695" s="6" customFormat="1"/>
    <row r="2696" s="6" customFormat="1"/>
    <row r="2697" s="6" customFormat="1"/>
    <row r="2698" s="6" customFormat="1"/>
    <row r="2699" s="6" customFormat="1"/>
    <row r="2700" s="6" customFormat="1"/>
    <row r="2701" s="6" customFormat="1"/>
    <row r="2702" s="6" customFormat="1"/>
    <row r="2703" s="6" customFormat="1"/>
    <row r="2704" s="6" customFormat="1"/>
    <row r="2705" s="6" customFormat="1"/>
    <row r="2706" s="6" customFormat="1"/>
    <row r="2707" s="6" customFormat="1"/>
    <row r="2708" s="6" customFormat="1"/>
    <row r="2709" s="6" customFormat="1"/>
    <row r="2710" s="6" customFormat="1"/>
    <row r="2711" s="6" customFormat="1"/>
    <row r="2712" s="6" customFormat="1"/>
    <row r="2713" s="6" customFormat="1"/>
    <row r="2714" s="6" customFormat="1"/>
    <row r="2715" s="6" customFormat="1"/>
    <row r="2716" s="6" customFormat="1"/>
    <row r="2717" s="6" customFormat="1"/>
    <row r="2718" s="6" customFormat="1"/>
    <row r="2719" s="6" customFormat="1"/>
    <row r="2720" s="6" customFormat="1"/>
    <row r="2721" s="6" customFormat="1"/>
    <row r="2722" s="6" customFormat="1"/>
    <row r="2723" s="6" customFormat="1"/>
    <row r="2724" s="6" customFormat="1"/>
    <row r="2725" s="6" customFormat="1"/>
    <row r="2726" s="6" customFormat="1"/>
    <row r="2727" s="6" customFormat="1"/>
    <row r="2728" s="6" customFormat="1"/>
    <row r="2729" s="6" customFormat="1"/>
    <row r="2730" s="6" customFormat="1"/>
    <row r="2731" s="6" customFormat="1"/>
    <row r="2732" s="6" customFormat="1"/>
    <row r="2733" s="6" customFormat="1"/>
    <row r="2734" s="6" customFormat="1"/>
    <row r="2735" s="6" customFormat="1"/>
    <row r="2736" s="6" customFormat="1"/>
    <row r="2737" s="6" customFormat="1"/>
    <row r="2738" s="6" customFormat="1"/>
    <row r="2739" s="6" customFormat="1"/>
    <row r="2740" s="6" customFormat="1"/>
    <row r="2741" s="6" customFormat="1"/>
    <row r="2742" s="6" customFormat="1"/>
    <row r="2743" s="6" customFormat="1"/>
    <row r="2744" s="6" customFormat="1"/>
    <row r="2745" s="6" customFormat="1"/>
    <row r="2746" s="6" customFormat="1"/>
    <row r="2747" s="6" customFormat="1"/>
    <row r="2748" s="6" customFormat="1"/>
    <row r="2749" s="6" customFormat="1"/>
    <row r="2750" s="6" customFormat="1"/>
    <row r="2751" s="6" customFormat="1"/>
    <row r="2752" s="6" customFormat="1"/>
    <row r="2753" s="6" customFormat="1"/>
    <row r="2754" s="6" customFormat="1"/>
    <row r="2755" s="6" customFormat="1"/>
    <row r="2756" s="6" customFormat="1"/>
    <row r="2757" s="6" customFormat="1"/>
    <row r="2758" s="6" customFormat="1"/>
    <row r="2759" s="6" customFormat="1"/>
    <row r="2760" s="6" customFormat="1"/>
    <row r="2761" s="6" customFormat="1"/>
    <row r="2762" s="6" customFormat="1"/>
    <row r="2763" s="6" customFormat="1"/>
    <row r="2764" s="6" customFormat="1"/>
    <row r="2765" s="6" customFormat="1"/>
    <row r="2766" s="6" customFormat="1"/>
    <row r="2767" s="6" customFormat="1"/>
    <row r="2768" s="6" customFormat="1"/>
    <row r="2769" s="6" customFormat="1"/>
    <row r="2770" s="6" customFormat="1"/>
    <row r="2771" s="6" customFormat="1"/>
    <row r="2772" s="6" customFormat="1"/>
    <row r="2773" s="6" customFormat="1"/>
    <row r="2774" s="6" customFormat="1"/>
    <row r="2775" s="6" customFormat="1"/>
    <row r="2776" s="6" customFormat="1"/>
    <row r="2777" s="6" customFormat="1"/>
    <row r="2778" s="6" customFormat="1"/>
    <row r="2779" s="6" customFormat="1"/>
    <row r="2780" s="6" customFormat="1"/>
    <row r="2781" s="6" customFormat="1"/>
    <row r="2782" s="6" customFormat="1"/>
    <row r="2783" s="6" customFormat="1"/>
    <row r="2784" s="6" customFormat="1"/>
    <row r="2785" s="6" customFormat="1"/>
    <row r="2786" s="6" customFormat="1"/>
    <row r="2787" s="6" customFormat="1"/>
    <row r="2788" s="6" customFormat="1"/>
    <row r="2789" s="6" customFormat="1"/>
    <row r="2790" s="6" customFormat="1"/>
    <row r="2791" s="6" customFormat="1"/>
    <row r="2792" s="6" customFormat="1"/>
    <row r="2793" s="6" customFormat="1"/>
    <row r="2794" s="6" customFormat="1"/>
    <row r="2795" s="6" customFormat="1"/>
    <row r="2796" s="6" customFormat="1"/>
    <row r="2797" s="6" customFormat="1"/>
    <row r="2798" s="6" customFormat="1"/>
    <row r="2799" s="6" customFormat="1"/>
    <row r="2800" s="6" customFormat="1"/>
    <row r="2801" s="6" customFormat="1"/>
    <row r="2802" s="6" customFormat="1"/>
    <row r="2803" s="6" customFormat="1"/>
    <row r="2804" s="6" customFormat="1"/>
    <row r="2805" s="6" customFormat="1"/>
    <row r="2806" s="6" customFormat="1"/>
    <row r="2807" s="6" customFormat="1"/>
    <row r="2808" s="6" customFormat="1"/>
    <row r="2809" s="6" customFormat="1"/>
    <row r="2810" s="6" customFormat="1"/>
    <row r="2811" s="6" customFormat="1"/>
    <row r="2812" s="6" customFormat="1"/>
    <row r="2813" s="6" customFormat="1"/>
    <row r="2814" s="6" customFormat="1"/>
    <row r="2815" s="6" customFormat="1"/>
    <row r="2816" s="6" customFormat="1"/>
    <row r="2817" s="6" customFormat="1"/>
    <row r="2818" s="6" customFormat="1"/>
    <row r="2819" s="6" customFormat="1"/>
    <row r="2820" s="6" customFormat="1"/>
    <row r="2821" s="6" customFormat="1"/>
    <row r="2822" s="6" customFormat="1"/>
    <row r="2823" s="6" customFormat="1"/>
    <row r="2824" s="6" customFormat="1"/>
    <row r="2825" s="6" customFormat="1"/>
    <row r="2826" s="6" customFormat="1"/>
    <row r="2827" s="6" customFormat="1"/>
    <row r="2828" s="6" customFormat="1"/>
    <row r="2829" s="6" customFormat="1"/>
    <row r="2830" s="6" customFormat="1"/>
    <row r="2831" s="6" customFormat="1"/>
    <row r="2832" s="6" customFormat="1"/>
    <row r="2833" s="6" customFormat="1"/>
    <row r="2834" s="6" customFormat="1"/>
    <row r="2835" s="6" customFormat="1"/>
    <row r="2836" s="6" customFormat="1"/>
    <row r="2837" s="6" customFormat="1"/>
    <row r="2838" s="6" customFormat="1"/>
    <row r="2839" s="6" customFormat="1"/>
    <row r="2840" s="6" customFormat="1"/>
    <row r="2841" s="6" customFormat="1"/>
    <row r="2842" s="6" customFormat="1"/>
    <row r="2843" s="6" customFormat="1"/>
    <row r="2844" s="6" customFormat="1"/>
    <row r="2845" s="6" customFormat="1"/>
    <row r="2846" s="6" customFormat="1"/>
    <row r="2847" s="6" customFormat="1"/>
    <row r="2848" s="6" customFormat="1"/>
    <row r="2849" s="6" customFormat="1"/>
    <row r="2850" s="6" customFormat="1"/>
    <row r="2851" s="6" customFormat="1"/>
    <row r="2852" s="6" customFormat="1"/>
    <row r="2853" s="6" customFormat="1"/>
    <row r="2854" s="6" customFormat="1"/>
    <row r="2855" s="6" customFormat="1"/>
    <row r="2856" s="6" customFormat="1"/>
    <row r="2857" s="6" customFormat="1"/>
    <row r="2858" s="6" customFormat="1"/>
    <row r="2859" s="6" customFormat="1"/>
    <row r="2860" s="6" customFormat="1"/>
    <row r="2861" s="6" customFormat="1"/>
    <row r="2862" s="6" customFormat="1"/>
    <row r="2863" s="6" customFormat="1"/>
    <row r="2864" s="6" customFormat="1"/>
    <row r="2865" s="6" customFormat="1"/>
    <row r="2866" s="6" customFormat="1"/>
    <row r="2867" s="6" customFormat="1"/>
    <row r="2868" s="6" customFormat="1"/>
    <row r="2869" s="6" customFormat="1"/>
    <row r="2870" s="6" customFormat="1"/>
    <row r="2871" s="6" customFormat="1"/>
    <row r="2872" s="6" customFormat="1"/>
    <row r="2873" s="6" customFormat="1"/>
    <row r="2874" s="6" customFormat="1"/>
    <row r="2875" s="6" customFormat="1"/>
    <row r="2876" s="6" customFormat="1"/>
    <row r="2877" s="6" customFormat="1"/>
    <row r="2878" s="6" customFormat="1"/>
    <row r="2879" s="6" customFormat="1"/>
    <row r="2880" s="6" customFormat="1"/>
    <row r="2881" s="6" customFormat="1"/>
    <row r="2882" s="6" customFormat="1"/>
    <row r="2883" s="6" customFormat="1"/>
    <row r="2884" s="6" customFormat="1"/>
    <row r="2885" s="6" customFormat="1"/>
    <row r="2886" s="6" customFormat="1"/>
    <row r="2887" s="6" customFormat="1"/>
    <row r="2888" s="6" customFormat="1"/>
    <row r="2889" s="6" customFormat="1"/>
    <row r="2890" s="6" customFormat="1"/>
    <row r="2891" s="6" customFormat="1"/>
    <row r="2892" s="6" customFormat="1"/>
    <row r="2893" s="6" customFormat="1"/>
    <row r="2894" s="6" customFormat="1"/>
    <row r="2895" s="6" customFormat="1"/>
    <row r="2896" s="6" customFormat="1"/>
    <row r="2897" s="6" customFormat="1"/>
    <row r="2898" s="6" customFormat="1"/>
    <row r="2899" s="6" customFormat="1"/>
    <row r="2900" s="6" customFormat="1"/>
    <row r="2901" s="6" customFormat="1"/>
    <row r="2902" s="6" customFormat="1"/>
    <row r="2903" s="6" customFormat="1"/>
    <row r="2904" s="6" customFormat="1"/>
    <row r="2905" s="6" customFormat="1"/>
    <row r="2906" s="6" customFormat="1"/>
    <row r="2907" s="6" customFormat="1"/>
    <row r="2908" s="6" customFormat="1"/>
    <row r="2909" s="6" customFormat="1"/>
    <row r="2910" s="6" customFormat="1"/>
    <row r="2911" s="6" customFormat="1"/>
    <row r="2912" s="6" customFormat="1"/>
    <row r="2913" s="6" customFormat="1"/>
    <row r="2914" s="6" customFormat="1"/>
    <row r="2915" s="6" customFormat="1"/>
    <row r="2916" s="6" customFormat="1"/>
    <row r="2917" s="6" customFormat="1"/>
    <row r="2918" s="6" customFormat="1"/>
    <row r="2919" s="6" customFormat="1"/>
    <row r="2920" s="6" customFormat="1"/>
    <row r="2921" s="6" customFormat="1"/>
    <row r="2922" s="6" customFormat="1"/>
    <row r="2923" s="6" customFormat="1"/>
    <row r="2924" s="6" customFormat="1"/>
    <row r="2925" s="6" customFormat="1"/>
    <row r="2926" s="6" customFormat="1"/>
    <row r="2927" s="6" customFormat="1"/>
    <row r="2928" s="6" customFormat="1"/>
    <row r="2929" s="6" customFormat="1"/>
    <row r="2930" s="6" customFormat="1"/>
    <row r="2931" s="6" customFormat="1"/>
    <row r="2932" s="6" customFormat="1"/>
    <row r="2933" s="6" customFormat="1"/>
    <row r="2934" s="6" customFormat="1"/>
    <row r="2935" s="6" customFormat="1"/>
    <row r="2936" s="6" customFormat="1"/>
    <row r="2937" s="6" customFormat="1"/>
    <row r="2938" s="6" customFormat="1"/>
    <row r="2939" s="6" customFormat="1"/>
    <row r="2940" s="6" customFormat="1"/>
    <row r="2941" s="6" customFormat="1"/>
    <row r="2942" s="6" customFormat="1"/>
    <row r="2943" s="6" customFormat="1"/>
    <row r="2944" s="6" customFormat="1"/>
    <row r="2945" s="6" customFormat="1"/>
    <row r="2946" s="6" customFormat="1"/>
    <row r="2947" s="6" customFormat="1"/>
    <row r="2948" s="6" customFormat="1"/>
    <row r="2949" s="6" customFormat="1"/>
    <row r="2950" s="6" customFormat="1"/>
    <row r="2951" s="6" customFormat="1"/>
    <row r="2952" s="6" customFormat="1"/>
    <row r="2953" s="6" customFormat="1"/>
    <row r="2954" s="6" customFormat="1"/>
    <row r="2955" s="6" customFormat="1"/>
    <row r="2956" s="6" customFormat="1"/>
    <row r="2957" s="6" customFormat="1"/>
    <row r="2958" s="6" customFormat="1"/>
    <row r="2959" s="6" customFormat="1"/>
    <row r="2960" s="6" customFormat="1"/>
    <row r="2961" s="6" customFormat="1"/>
    <row r="2962" s="6" customFormat="1"/>
    <row r="2963" s="6" customFormat="1"/>
    <row r="2964" s="6" customFormat="1"/>
    <row r="2965" s="6" customFormat="1"/>
    <row r="2966" s="6" customFormat="1"/>
    <row r="2967" s="6" customFormat="1"/>
    <row r="2968" s="6" customFormat="1"/>
    <row r="2969" s="6" customFormat="1"/>
    <row r="2970" s="6" customFormat="1"/>
    <row r="2971" s="6" customFormat="1"/>
    <row r="2972" s="6" customFormat="1"/>
    <row r="2973" s="6" customFormat="1"/>
    <row r="2974" s="6" customFormat="1"/>
    <row r="2975" s="6" customFormat="1"/>
    <row r="2976" s="6" customFormat="1"/>
    <row r="2977" s="6" customFormat="1"/>
    <row r="2978" s="6" customFormat="1"/>
    <row r="2979" s="6" customFormat="1"/>
    <row r="2980" s="6" customFormat="1"/>
    <row r="2981" s="6" customFormat="1"/>
    <row r="2982" s="6" customFormat="1"/>
    <row r="2983" s="6" customFormat="1"/>
    <row r="2984" s="6" customFormat="1"/>
    <row r="2985" s="6" customFormat="1"/>
    <row r="2986" s="6" customFormat="1"/>
    <row r="2987" s="6" customFormat="1"/>
    <row r="2988" s="6" customFormat="1"/>
    <row r="2989" s="6" customFormat="1"/>
    <row r="2990" s="6" customFormat="1"/>
    <row r="2991" s="6" customFormat="1"/>
    <row r="2992" s="6" customFormat="1"/>
    <row r="2993" s="6" customFormat="1"/>
    <row r="2994" s="6" customFormat="1"/>
    <row r="2995" s="6" customFormat="1"/>
    <row r="2996" s="6" customFormat="1"/>
    <row r="2997" s="6" customFormat="1"/>
    <row r="2998" s="6" customFormat="1"/>
    <row r="2999" s="6" customFormat="1"/>
    <row r="3000" s="6" customFormat="1"/>
    <row r="3001" s="6" customFormat="1"/>
    <row r="3002" s="6" customFormat="1"/>
    <row r="3003" s="6" customFormat="1"/>
    <row r="3004" s="6" customFormat="1"/>
    <row r="3005" s="6" customFormat="1"/>
    <row r="3006" s="6" customFormat="1"/>
    <row r="3007" s="6" customFormat="1"/>
    <row r="3008" s="6" customFormat="1"/>
    <row r="3009" s="6" customFormat="1"/>
    <row r="3010" s="6" customFormat="1"/>
    <row r="3011" s="6" customFormat="1"/>
    <row r="3012" s="6" customFormat="1"/>
    <row r="3013" s="6" customFormat="1"/>
    <row r="3014" s="6" customFormat="1"/>
    <row r="3015" s="6" customFormat="1"/>
    <row r="3016" s="6" customFormat="1"/>
    <row r="3017" s="6" customFormat="1"/>
    <row r="3018" s="6" customFormat="1"/>
    <row r="3019" s="6" customFormat="1"/>
    <row r="3020" s="6" customFormat="1"/>
    <row r="3021" s="6" customFormat="1"/>
    <row r="3022" s="6" customFormat="1"/>
    <row r="3023" s="6" customFormat="1"/>
    <row r="3024" s="6" customFormat="1"/>
    <row r="3025" s="6" customFormat="1"/>
    <row r="3026" s="6" customFormat="1"/>
    <row r="3027" s="6" customFormat="1"/>
    <row r="3028" s="6" customFormat="1"/>
    <row r="3029" s="6" customFormat="1"/>
    <row r="3030" s="6" customFormat="1"/>
    <row r="3031" s="6" customFormat="1"/>
    <row r="3032" s="6" customFormat="1"/>
    <row r="3033" s="6" customFormat="1"/>
    <row r="3034" s="6" customFormat="1"/>
    <row r="3035" s="6" customFormat="1"/>
    <row r="3036" s="6" customFormat="1"/>
    <row r="3037" s="6" customFormat="1"/>
    <row r="3038" s="6" customFormat="1"/>
    <row r="3039" s="6" customFormat="1"/>
    <row r="3040" s="6" customFormat="1"/>
    <row r="3041" s="6" customFormat="1"/>
    <row r="3042" s="6" customFormat="1"/>
    <row r="3043" s="6" customFormat="1"/>
    <row r="3044" s="6" customFormat="1"/>
    <row r="3045" s="6" customFormat="1"/>
    <row r="3046" s="6" customFormat="1"/>
    <row r="3047" s="6" customFormat="1"/>
    <row r="3048" s="6" customFormat="1"/>
    <row r="3049" s="6" customFormat="1"/>
    <row r="3050" s="6" customFormat="1"/>
    <row r="3051" s="6" customFormat="1"/>
    <row r="3052" s="6" customFormat="1"/>
    <row r="3053" s="6" customFormat="1"/>
    <row r="3054" s="6" customFormat="1"/>
    <row r="3055" s="6" customFormat="1"/>
    <row r="3056" s="6" customFormat="1"/>
    <row r="3057" s="6" customFormat="1"/>
    <row r="3058" s="6" customFormat="1"/>
    <row r="3059" s="6" customFormat="1"/>
    <row r="3060" s="6" customFormat="1"/>
    <row r="3061" s="6" customFormat="1"/>
    <row r="3062" s="6" customFormat="1"/>
    <row r="3063" s="6" customFormat="1"/>
    <row r="3064" s="6" customFormat="1"/>
    <row r="3065" s="6" customFormat="1"/>
    <row r="3066" s="6" customFormat="1"/>
    <row r="3067" s="6" customFormat="1"/>
    <row r="3068" s="6" customFormat="1"/>
    <row r="3069" s="6" customFormat="1"/>
    <row r="3070" s="6" customFormat="1"/>
    <row r="3071" s="6" customFormat="1"/>
    <row r="3072" s="6" customFormat="1"/>
    <row r="3073" s="6" customFormat="1"/>
    <row r="3074" s="6" customFormat="1"/>
    <row r="3075" s="6" customFormat="1"/>
    <row r="3076" s="6" customFormat="1"/>
    <row r="3077" s="6" customFormat="1"/>
    <row r="3078" s="6" customFormat="1"/>
    <row r="3079" s="6" customFormat="1"/>
    <row r="3080" s="6" customFormat="1"/>
    <row r="3081" s="6" customFormat="1"/>
    <row r="3082" s="6" customFormat="1"/>
    <row r="3083" s="6" customFormat="1"/>
    <row r="3084" s="6" customFormat="1"/>
    <row r="3085" s="6" customFormat="1"/>
    <row r="3086" s="6" customFormat="1"/>
    <row r="3087" s="6" customFormat="1"/>
    <row r="3088" s="6" customFormat="1"/>
    <row r="3089" s="6" customFormat="1"/>
    <row r="3090" s="6" customFormat="1"/>
    <row r="3091" s="6" customFormat="1"/>
    <row r="3092" s="6" customFormat="1"/>
    <row r="3093" s="6" customFormat="1"/>
    <row r="3094" s="6" customFormat="1"/>
    <row r="3095" s="6" customFormat="1"/>
    <row r="3096" s="6" customFormat="1"/>
    <row r="3097" s="6" customFormat="1"/>
    <row r="3098" s="6" customFormat="1"/>
    <row r="3099" s="6" customFormat="1"/>
    <row r="3100" s="6" customFormat="1"/>
    <row r="3101" s="6" customFormat="1"/>
    <row r="3102" s="6" customFormat="1"/>
    <row r="3103" s="6" customFormat="1"/>
    <row r="3104" s="6" customFormat="1"/>
    <row r="3105" s="6" customFormat="1"/>
    <row r="3106" s="6" customFormat="1"/>
    <row r="3107" s="6" customFormat="1"/>
    <row r="3108" s="6" customFormat="1"/>
    <row r="3109" s="6" customFormat="1"/>
    <row r="3110" s="6" customFormat="1"/>
    <row r="3111" s="6" customFormat="1"/>
    <row r="3112" s="6" customFormat="1"/>
    <row r="3113" s="6" customFormat="1"/>
    <row r="3114" s="6" customFormat="1"/>
    <row r="3115" s="6" customFormat="1"/>
    <row r="3116" s="6" customFormat="1"/>
    <row r="3117" s="6" customFormat="1"/>
    <row r="3118" s="6" customFormat="1"/>
    <row r="3119" s="6" customFormat="1"/>
    <row r="3120" s="6" customFormat="1"/>
    <row r="3121" s="6" customFormat="1"/>
    <row r="3122" s="6" customFormat="1"/>
    <row r="3123" s="6" customFormat="1"/>
    <row r="3124" s="6" customFormat="1"/>
    <row r="3125" s="6" customFormat="1"/>
    <row r="3126" s="6" customFormat="1"/>
    <row r="3127" s="6" customFormat="1"/>
    <row r="3128" s="6" customFormat="1"/>
    <row r="3129" s="6" customFormat="1"/>
    <row r="3130" s="6" customFormat="1"/>
    <row r="3131" s="6" customFormat="1"/>
    <row r="3132" s="6" customFormat="1"/>
    <row r="3133" s="6" customFormat="1"/>
    <row r="3134" s="6" customFormat="1"/>
    <row r="3135" s="6" customFormat="1"/>
    <row r="3136" s="6" customFormat="1"/>
    <row r="3137" s="6" customFormat="1"/>
    <row r="3138" s="6" customFormat="1"/>
    <row r="3139" s="6" customFormat="1"/>
    <row r="3140" s="6" customFormat="1"/>
    <row r="3141" s="6" customFormat="1"/>
    <row r="3142" s="6" customFormat="1"/>
    <row r="3143" s="6" customFormat="1"/>
    <row r="3144" s="6" customFormat="1"/>
    <row r="3145" s="6" customFormat="1"/>
    <row r="3146" s="6" customFormat="1"/>
    <row r="3147" s="6" customFormat="1"/>
    <row r="3148" s="6" customFormat="1"/>
    <row r="3149" s="6" customFormat="1"/>
    <row r="3150" s="6" customFormat="1"/>
    <row r="3151" s="6" customFormat="1"/>
    <row r="3152" s="6" customFormat="1"/>
    <row r="3153" s="6" customFormat="1"/>
    <row r="3154" s="6" customFormat="1"/>
    <row r="3155" s="6" customFormat="1"/>
    <row r="3156" s="6" customFormat="1"/>
    <row r="3157" s="6" customFormat="1"/>
    <row r="3158" s="6" customFormat="1"/>
    <row r="3159" s="6" customFormat="1"/>
    <row r="3160" s="6" customFormat="1"/>
    <row r="3161" s="6" customFormat="1"/>
    <row r="3162" s="6" customFormat="1"/>
    <row r="3163" s="6" customFormat="1"/>
    <row r="3164" s="6" customFormat="1"/>
    <row r="3165" s="6" customFormat="1"/>
    <row r="3166" s="6" customFormat="1"/>
    <row r="3167" s="6" customFormat="1"/>
    <row r="3168" s="6" customFormat="1"/>
    <row r="3169" s="6" customFormat="1"/>
    <row r="3170" s="6" customFormat="1"/>
    <row r="3171" s="6" customFormat="1"/>
    <row r="3172" s="6" customFormat="1"/>
    <row r="3173" s="6" customFormat="1"/>
    <row r="3174" s="6" customFormat="1"/>
    <row r="3175" s="6" customFormat="1"/>
    <row r="3176" s="6" customFormat="1"/>
    <row r="3177" s="6" customFormat="1"/>
    <row r="3178" s="6" customFormat="1"/>
    <row r="3179" s="6" customFormat="1"/>
    <row r="3180" s="6" customFormat="1"/>
    <row r="3181" s="6" customFormat="1"/>
    <row r="3182" s="6" customFormat="1"/>
    <row r="3183" s="6" customFormat="1"/>
    <row r="3184" s="6" customFormat="1"/>
    <row r="3185" s="6" customFormat="1"/>
    <row r="3186" s="6" customFormat="1"/>
    <row r="3187" s="6" customFormat="1"/>
    <row r="3188" s="6" customFormat="1"/>
    <row r="3189" s="6" customFormat="1"/>
    <row r="3190" s="6" customFormat="1"/>
    <row r="3191" s="6" customFormat="1"/>
    <row r="3192" s="6" customFormat="1"/>
    <row r="3193" s="6" customFormat="1"/>
    <row r="3194" s="6" customFormat="1"/>
    <row r="3195" s="6" customFormat="1"/>
    <row r="3196" s="6" customFormat="1"/>
    <row r="3197" s="6" customFormat="1"/>
    <row r="3198" s="6" customFormat="1"/>
    <row r="3199" s="6" customFormat="1"/>
    <row r="3200" s="6" customFormat="1"/>
    <row r="3201" s="6" customFormat="1"/>
    <row r="3202" s="6" customFormat="1"/>
    <row r="3203" s="6" customFormat="1"/>
    <row r="3204" s="6" customFormat="1"/>
    <row r="3205" s="6" customFormat="1"/>
    <row r="3206" s="6" customFormat="1"/>
    <row r="3207" s="6" customFormat="1"/>
    <row r="3208" s="6" customFormat="1"/>
    <row r="3209" s="6" customFormat="1"/>
    <row r="3210" s="6" customFormat="1"/>
    <row r="3211" s="6" customFormat="1"/>
    <row r="3212" s="6" customFormat="1"/>
    <row r="3213" s="6" customFormat="1"/>
    <row r="3214" s="6" customFormat="1"/>
    <row r="3215" s="6" customFormat="1"/>
    <row r="3216" s="6" customFormat="1"/>
    <row r="3217" s="6" customFormat="1"/>
    <row r="3218" s="6" customFormat="1"/>
    <row r="3219" s="6" customFormat="1"/>
    <row r="3220" s="6" customFormat="1"/>
    <row r="3221" s="6" customFormat="1"/>
    <row r="3222" s="6" customFormat="1"/>
    <row r="3223" s="6" customFormat="1"/>
    <row r="3224" s="6" customFormat="1"/>
    <row r="3225" s="6" customFormat="1"/>
    <row r="3226" s="6" customFormat="1"/>
    <row r="3227" s="6" customFormat="1"/>
    <row r="3228" s="6" customFormat="1"/>
    <row r="3229" s="6" customFormat="1"/>
    <row r="3230" s="6" customFormat="1"/>
    <row r="3231" s="6" customFormat="1"/>
    <row r="3232" s="6" customFormat="1"/>
    <row r="3233" s="6" customFormat="1"/>
    <row r="3234" s="6" customFormat="1"/>
    <row r="3235" s="6" customFormat="1"/>
    <row r="3236" s="6" customFormat="1"/>
    <row r="3237" s="6" customFormat="1"/>
    <row r="3238" s="6" customFormat="1"/>
    <row r="3239" s="6" customFormat="1"/>
    <row r="3240" s="6" customFormat="1"/>
    <row r="3241" s="6" customFormat="1"/>
    <row r="3242" s="6" customFormat="1"/>
    <row r="3243" s="6" customFormat="1"/>
    <row r="3244" s="6" customFormat="1"/>
    <row r="3245" s="6" customFormat="1"/>
    <row r="3246" s="6" customFormat="1"/>
    <row r="3247" s="6" customFormat="1"/>
    <row r="3248" s="6" customFormat="1"/>
    <row r="3249" s="6" customFormat="1"/>
    <row r="3250" s="6" customFormat="1"/>
    <row r="3251" s="6" customFormat="1"/>
    <row r="3252" s="6" customFormat="1"/>
    <row r="3253" s="6" customFormat="1"/>
    <row r="3254" s="6" customFormat="1"/>
    <row r="3255" s="6" customFormat="1"/>
    <row r="3256" s="6" customFormat="1"/>
    <row r="3257" s="6" customFormat="1"/>
    <row r="3258" s="6" customFormat="1"/>
    <row r="3259" s="6" customFormat="1"/>
    <row r="3260" s="6" customFormat="1"/>
    <row r="3261" s="6" customFormat="1"/>
    <row r="3262" s="6" customFormat="1"/>
    <row r="3263" s="6" customFormat="1"/>
    <row r="3264" s="6" customFormat="1"/>
    <row r="3265" s="6" customFormat="1"/>
    <row r="3266" s="6" customFormat="1"/>
    <row r="3267" s="6" customFormat="1"/>
    <row r="3268" s="6" customFormat="1"/>
    <row r="3269" s="6" customFormat="1"/>
    <row r="3270" s="6" customFormat="1"/>
    <row r="3271" s="6" customFormat="1"/>
    <row r="3272" s="6" customFormat="1"/>
    <row r="3273" s="6" customFormat="1"/>
    <row r="3274" s="6" customFormat="1"/>
    <row r="3275" s="6" customFormat="1"/>
    <row r="3276" s="6" customFormat="1"/>
    <row r="3277" s="6" customFormat="1"/>
    <row r="3278" s="6" customFormat="1"/>
    <row r="3279" s="6" customFormat="1"/>
    <row r="3280" s="6" customFormat="1"/>
    <row r="3281" s="6" customFormat="1"/>
    <row r="3282" s="6" customFormat="1"/>
    <row r="3283" s="6" customFormat="1"/>
    <row r="3284" s="6" customFormat="1"/>
    <row r="3285" s="6" customFormat="1"/>
    <row r="3286" s="6" customFormat="1"/>
    <row r="3287" s="6" customFormat="1"/>
    <row r="3288" s="6" customFormat="1"/>
    <row r="3289" s="6" customFormat="1"/>
    <row r="3290" s="6" customFormat="1"/>
    <row r="3291" s="6" customFormat="1"/>
    <row r="3292" s="6" customFormat="1"/>
    <row r="3293" s="6" customFormat="1"/>
    <row r="3294" s="6" customFormat="1"/>
    <row r="3295" s="6" customFormat="1"/>
    <row r="3296" s="6" customFormat="1"/>
    <row r="3297" s="6" customFormat="1"/>
    <row r="3298" s="6" customFormat="1"/>
    <row r="3299" s="6" customFormat="1"/>
    <row r="3300" s="6" customFormat="1"/>
    <row r="3301" s="6" customFormat="1"/>
    <row r="3302" s="6" customFormat="1"/>
    <row r="3303" s="6" customFormat="1"/>
    <row r="3304" s="6" customFormat="1"/>
    <row r="3305" s="6" customFormat="1"/>
    <row r="3306" s="6" customFormat="1"/>
    <row r="3307" s="6" customFormat="1"/>
    <row r="3308" s="6" customFormat="1"/>
    <row r="3309" s="6" customFormat="1"/>
    <row r="3310" s="6" customFormat="1"/>
    <row r="3311" s="6" customFormat="1"/>
    <row r="3312" s="6" customFormat="1"/>
    <row r="3313" s="6" customFormat="1"/>
    <row r="3314" s="6" customFormat="1"/>
    <row r="3315" s="6" customFormat="1"/>
    <row r="3316" s="6" customFormat="1"/>
    <row r="3317" s="6" customFormat="1"/>
    <row r="3318" s="6" customFormat="1"/>
    <row r="3319" s="6" customFormat="1"/>
    <row r="3320" s="6" customFormat="1"/>
    <row r="3321" s="6" customFormat="1"/>
    <row r="3322" s="6" customFormat="1"/>
    <row r="3323" s="6" customFormat="1"/>
    <row r="3324" s="6" customFormat="1"/>
    <row r="3325" s="6" customFormat="1"/>
    <row r="3326" s="6" customFormat="1"/>
    <row r="3327" s="6" customFormat="1"/>
    <row r="3328" s="6" customFormat="1"/>
    <row r="3329" s="6" customFormat="1"/>
    <row r="3330" s="6" customFormat="1"/>
    <row r="3331" s="6" customFormat="1"/>
    <row r="3332" s="6" customFormat="1"/>
    <row r="3333" s="6" customFormat="1"/>
    <row r="3334" s="6" customFormat="1"/>
    <row r="3335" s="6" customFormat="1"/>
    <row r="3336" s="6" customFormat="1"/>
    <row r="3337" s="6" customFormat="1"/>
    <row r="3338" s="6" customFormat="1"/>
    <row r="3339" s="6" customFormat="1"/>
    <row r="3340" s="6" customFormat="1"/>
    <row r="3341" s="6" customFormat="1"/>
    <row r="3342" s="6" customFormat="1"/>
    <row r="3343" s="6" customFormat="1"/>
    <row r="3344" s="6" customFormat="1"/>
    <row r="3345" s="6" customFormat="1"/>
    <row r="3346" s="6" customFormat="1"/>
    <row r="3347" s="6" customFormat="1"/>
    <row r="3348" s="6" customFormat="1"/>
    <row r="3349" s="6" customFormat="1"/>
    <row r="3350" s="6" customFormat="1"/>
    <row r="3351" s="6" customFormat="1"/>
    <row r="3352" s="6" customFormat="1"/>
    <row r="3353" s="6" customFormat="1"/>
    <row r="3354" s="6" customFormat="1"/>
    <row r="3355" s="6" customFormat="1"/>
    <row r="3356" s="6" customFormat="1"/>
    <row r="3357" s="6" customFormat="1"/>
    <row r="3358" s="6" customFormat="1"/>
    <row r="3359" s="6" customFormat="1"/>
    <row r="3360" s="6" customFormat="1"/>
    <row r="3361" s="6" customFormat="1"/>
    <row r="3362" s="6" customFormat="1"/>
    <row r="3363" s="6" customFormat="1"/>
    <row r="3364" s="6" customFormat="1"/>
    <row r="3365" s="6" customFormat="1"/>
    <row r="3366" s="6" customFormat="1"/>
    <row r="3367" s="6" customFormat="1"/>
    <row r="3368" s="6" customFormat="1"/>
    <row r="3369" s="6" customFormat="1"/>
    <row r="3370" s="6" customFormat="1"/>
    <row r="3371" s="6" customFormat="1"/>
    <row r="3372" s="6" customFormat="1"/>
    <row r="3373" s="6" customFormat="1"/>
    <row r="3374" s="6" customFormat="1"/>
    <row r="3375" s="6" customFormat="1"/>
    <row r="3376" s="6" customFormat="1"/>
    <row r="3377" s="6" customFormat="1"/>
    <row r="3378" s="6" customFormat="1"/>
    <row r="3379" s="6" customFormat="1"/>
    <row r="3380" s="6" customFormat="1"/>
    <row r="3381" s="6" customFormat="1"/>
    <row r="3382" s="6" customFormat="1"/>
    <row r="3383" s="6" customFormat="1"/>
    <row r="3384" s="6" customFormat="1"/>
    <row r="3385" s="6" customFormat="1"/>
    <row r="3386" s="6" customFormat="1"/>
    <row r="3387" s="6" customFormat="1"/>
    <row r="3388" s="6" customFormat="1"/>
    <row r="3389" s="6" customFormat="1"/>
    <row r="3390" s="6" customFormat="1"/>
    <row r="3391" s="6" customFormat="1"/>
    <row r="3392" s="6" customFormat="1"/>
    <row r="3393" s="6" customFormat="1"/>
    <row r="3394" s="6" customFormat="1"/>
    <row r="3395" s="6" customFormat="1"/>
    <row r="3396" s="6" customFormat="1"/>
    <row r="3397" s="6" customFormat="1"/>
    <row r="3398" s="6" customFormat="1"/>
    <row r="3399" s="6" customFormat="1"/>
    <row r="3400" s="6" customFormat="1"/>
    <row r="3401" s="6" customFormat="1"/>
    <row r="3402" s="6" customFormat="1"/>
    <row r="3403" s="6" customFormat="1"/>
    <row r="3404" s="6" customFormat="1"/>
    <row r="3405" s="6" customFormat="1"/>
    <row r="3406" s="6" customFormat="1"/>
    <row r="3407" s="6" customFormat="1"/>
    <row r="3408" s="6" customFormat="1"/>
    <row r="3409" s="6" customFormat="1"/>
    <row r="3410" s="6" customFormat="1"/>
    <row r="3411" s="6" customFormat="1"/>
    <row r="3412" s="6" customFormat="1"/>
    <row r="3413" s="6" customFormat="1"/>
    <row r="3414" s="6" customFormat="1"/>
    <row r="3415" s="6" customFormat="1"/>
    <row r="3416" s="6" customFormat="1"/>
    <row r="3417" s="6" customFormat="1"/>
    <row r="3418" s="6" customFormat="1"/>
    <row r="3419" s="6" customFormat="1"/>
    <row r="3420" s="6" customFormat="1"/>
    <row r="3421" s="6" customFormat="1"/>
    <row r="3422" s="6" customFormat="1"/>
    <row r="3423" s="6" customFormat="1"/>
    <row r="3424" s="6" customFormat="1"/>
    <row r="3425" s="6" customFormat="1"/>
    <row r="3426" s="6" customFormat="1"/>
    <row r="3427" s="6" customFormat="1"/>
    <row r="3428" s="6" customFormat="1"/>
    <row r="3429" s="6" customFormat="1"/>
    <row r="3430" s="6" customFormat="1"/>
    <row r="3431" s="6" customFormat="1"/>
    <row r="3432" s="6" customFormat="1"/>
    <row r="3433" s="6" customFormat="1"/>
    <row r="3434" s="6" customFormat="1"/>
    <row r="3435" s="6" customFormat="1"/>
    <row r="3436" s="6" customFormat="1"/>
    <row r="3437" s="6" customFormat="1"/>
    <row r="3438" s="6" customFormat="1"/>
    <row r="3439" s="6" customFormat="1"/>
    <row r="3440" s="6" customFormat="1"/>
    <row r="3441" s="6" customFormat="1"/>
    <row r="3442" s="6" customFormat="1"/>
    <row r="3443" s="6" customFormat="1"/>
    <row r="3444" s="6" customFormat="1"/>
    <row r="3445" s="6" customFormat="1"/>
    <row r="3446" s="6" customFormat="1"/>
    <row r="3447" s="6" customFormat="1"/>
    <row r="3448" s="6" customFormat="1"/>
    <row r="3449" s="6" customFormat="1"/>
    <row r="3450" s="6" customFormat="1"/>
    <row r="3451" s="6" customFormat="1"/>
    <row r="3452" s="6" customFormat="1"/>
    <row r="3453" s="6" customFormat="1"/>
    <row r="3454" s="6" customFormat="1"/>
    <row r="3455" s="6" customFormat="1"/>
    <row r="3456" s="6" customFormat="1"/>
    <row r="3457" s="6" customFormat="1"/>
    <row r="3458" s="6" customFormat="1"/>
    <row r="3459" s="6" customFormat="1"/>
    <row r="3460" s="6" customFormat="1"/>
    <row r="3461" s="6" customFormat="1"/>
    <row r="3462" s="6" customFormat="1"/>
    <row r="3463" s="6" customFormat="1"/>
    <row r="3464" s="6" customFormat="1"/>
    <row r="3465" s="6" customFormat="1"/>
    <row r="3466" s="6" customFormat="1"/>
    <row r="3467" s="6" customFormat="1"/>
    <row r="3468" s="6" customFormat="1"/>
    <row r="3469" s="6" customFormat="1"/>
    <row r="3470" s="6" customFormat="1"/>
    <row r="3471" s="6" customFormat="1"/>
    <row r="3472" s="6" customFormat="1"/>
    <row r="3473" s="6" customFormat="1"/>
    <row r="3474" s="6" customFormat="1"/>
    <row r="3475" s="6" customFormat="1"/>
    <row r="3476" s="6" customFormat="1"/>
    <row r="3477" s="6" customFormat="1"/>
    <row r="3478" s="6" customFormat="1"/>
    <row r="3479" s="6" customFormat="1"/>
    <row r="3480" s="6" customFormat="1"/>
    <row r="3481" s="6" customFormat="1"/>
    <row r="3482" s="6" customFormat="1"/>
    <row r="3483" s="6" customFormat="1"/>
    <row r="3484" s="6" customFormat="1"/>
    <row r="3485" s="6" customFormat="1"/>
    <row r="3486" s="6" customFormat="1"/>
    <row r="3487" s="6" customFormat="1"/>
    <row r="3488" s="6" customFormat="1"/>
    <row r="3489" s="6" customFormat="1"/>
    <row r="3490" s="6" customFormat="1"/>
    <row r="3491" s="6" customFormat="1"/>
    <row r="3492" s="6" customFormat="1"/>
    <row r="3493" s="6" customFormat="1"/>
    <row r="3494" s="6" customFormat="1"/>
    <row r="3495" s="6" customFormat="1"/>
    <row r="3496" s="6" customFormat="1"/>
    <row r="3497" s="6" customFormat="1"/>
    <row r="3498" s="6" customFormat="1"/>
    <row r="3499" s="6" customFormat="1"/>
    <row r="3500" s="6" customFormat="1"/>
    <row r="3501" s="6" customFormat="1"/>
    <row r="3502" s="6" customFormat="1"/>
    <row r="3503" s="6" customFormat="1"/>
    <row r="3504" s="6" customFormat="1"/>
    <row r="3505" s="6" customFormat="1"/>
    <row r="3506" s="6" customFormat="1"/>
    <row r="3507" s="6" customFormat="1"/>
    <row r="3508" s="6" customFormat="1"/>
    <row r="3509" s="6" customFormat="1"/>
    <row r="3510" s="6" customFormat="1"/>
    <row r="3511" s="6" customFormat="1"/>
    <row r="3512" s="6" customFormat="1"/>
    <row r="3513" s="6" customFormat="1"/>
    <row r="3514" s="6" customFormat="1"/>
    <row r="3515" s="6" customFormat="1"/>
    <row r="3516" s="6" customFormat="1"/>
    <row r="3517" s="6" customFormat="1"/>
    <row r="3518" s="6" customFormat="1"/>
    <row r="3519" s="6" customFormat="1"/>
    <row r="3520" s="6" customFormat="1"/>
    <row r="3521" s="6" customFormat="1"/>
    <row r="3522" s="6" customFormat="1"/>
    <row r="3523" s="6" customFormat="1"/>
    <row r="3524" s="6" customFormat="1"/>
    <row r="3525" s="6" customFormat="1"/>
    <row r="3526" s="6" customFormat="1"/>
    <row r="3527" s="6" customFormat="1"/>
    <row r="3528" s="6" customFormat="1"/>
    <row r="3529" s="6" customFormat="1"/>
    <row r="3530" s="6" customFormat="1"/>
    <row r="3531" s="6" customFormat="1"/>
    <row r="3532" s="6" customFormat="1"/>
    <row r="3533" s="6" customFormat="1"/>
    <row r="3534" s="6" customFormat="1"/>
    <row r="3535" s="6" customFormat="1"/>
    <row r="3536" s="6" customFormat="1"/>
    <row r="3537" s="6" customFormat="1"/>
    <row r="3538" s="6" customFormat="1"/>
    <row r="3539" s="6" customFormat="1"/>
    <row r="3540" s="6" customFormat="1"/>
    <row r="3541" s="6" customFormat="1"/>
    <row r="3542" s="6" customFormat="1"/>
    <row r="3543" s="6" customFormat="1"/>
    <row r="3544" s="6" customFormat="1"/>
    <row r="3545" s="6" customFormat="1"/>
    <row r="3546" s="6" customFormat="1"/>
    <row r="3547" s="6" customFormat="1"/>
    <row r="3548" s="6" customFormat="1"/>
    <row r="3549" s="6" customFormat="1"/>
    <row r="3550" s="6" customFormat="1"/>
    <row r="3551" s="6" customFormat="1"/>
    <row r="3552" s="6" customFormat="1"/>
    <row r="3553" s="6" customFormat="1"/>
    <row r="3554" s="6" customFormat="1"/>
    <row r="3555" s="6" customFormat="1"/>
    <row r="3556" s="6" customFormat="1"/>
    <row r="3557" s="6" customFormat="1"/>
    <row r="3558" s="6" customFormat="1"/>
    <row r="3559" s="6" customFormat="1"/>
    <row r="3560" s="6" customFormat="1"/>
    <row r="3561" s="6" customFormat="1"/>
    <row r="3562" s="6" customFormat="1"/>
    <row r="3563" s="6" customFormat="1"/>
    <row r="3564" s="6" customFormat="1"/>
    <row r="3565" s="6" customFormat="1"/>
    <row r="3566" s="6" customFormat="1"/>
    <row r="3567" s="6" customFormat="1"/>
    <row r="3568" s="6" customFormat="1"/>
    <row r="3569" s="6" customFormat="1"/>
    <row r="3570" s="6" customFormat="1"/>
    <row r="3571" s="6" customFormat="1"/>
    <row r="3572" s="6" customFormat="1"/>
    <row r="3573" s="6" customFormat="1"/>
    <row r="3574" s="6" customFormat="1"/>
    <row r="3575" s="6" customFormat="1"/>
    <row r="3576" s="6" customFormat="1"/>
    <row r="3577" s="6" customFormat="1"/>
    <row r="3578" s="6" customFormat="1"/>
    <row r="3579" s="6" customFormat="1"/>
    <row r="3580" s="6" customFormat="1"/>
    <row r="3581" s="6" customFormat="1"/>
    <row r="3582" s="6" customFormat="1"/>
    <row r="3583" s="6" customFormat="1"/>
    <row r="3584" s="6" customFormat="1"/>
    <row r="3585" s="6" customFormat="1"/>
    <row r="3586" s="6" customFormat="1"/>
    <row r="3587" s="6" customFormat="1"/>
    <row r="3588" s="6" customFormat="1"/>
    <row r="3589" s="6" customFormat="1"/>
    <row r="3590" s="6" customFormat="1"/>
    <row r="3591" s="6" customFormat="1"/>
    <row r="3592" s="6" customFormat="1"/>
    <row r="3593" s="6" customFormat="1"/>
    <row r="3594" s="6" customFormat="1"/>
    <row r="3595" s="6" customFormat="1"/>
    <row r="3596" s="6" customFormat="1"/>
    <row r="3597" s="6" customFormat="1"/>
    <row r="3598" s="6" customFormat="1"/>
    <row r="3599" s="6" customFormat="1"/>
    <row r="3600" s="6" customFormat="1"/>
    <row r="3601" s="6" customFormat="1"/>
    <row r="3602" s="6" customFormat="1"/>
    <row r="3603" s="6" customFormat="1"/>
    <row r="3604" s="6" customFormat="1"/>
    <row r="3605" s="6" customFormat="1"/>
    <row r="3606" s="6" customFormat="1"/>
    <row r="3607" s="6" customFormat="1"/>
    <row r="3608" s="6" customFormat="1"/>
    <row r="3609" s="6" customFormat="1"/>
    <row r="3610" s="6" customFormat="1"/>
    <row r="3611" s="6" customFormat="1"/>
    <row r="3612" s="6" customFormat="1"/>
    <row r="3613" s="6" customFormat="1"/>
    <row r="3614" s="6" customFormat="1"/>
    <row r="3615" s="6" customFormat="1"/>
    <row r="3616" s="6" customFormat="1"/>
    <row r="3617" s="6" customFormat="1"/>
    <row r="3618" s="6" customFormat="1"/>
    <row r="3619" s="6" customFormat="1"/>
    <row r="3620" s="6" customFormat="1"/>
    <row r="3621" s="6" customFormat="1"/>
    <row r="3622" s="6" customFormat="1"/>
    <row r="3623" s="6" customFormat="1"/>
    <row r="3624" s="6" customFormat="1"/>
    <row r="3625" s="6" customFormat="1"/>
    <row r="3626" s="6" customFormat="1"/>
    <row r="3627" s="6" customFormat="1"/>
    <row r="3628" s="6" customFormat="1"/>
    <row r="3629" s="6" customFormat="1"/>
    <row r="3630" s="6" customFormat="1"/>
    <row r="3631" s="6" customFormat="1"/>
    <row r="3632" s="6" customFormat="1"/>
    <row r="3633" s="6" customFormat="1"/>
    <row r="3634" s="6" customFormat="1"/>
    <row r="3635" s="6" customFormat="1"/>
    <row r="3636" s="6" customFormat="1"/>
    <row r="3637" s="6" customFormat="1"/>
    <row r="3638" s="6" customFormat="1"/>
    <row r="3639" s="6" customFormat="1"/>
    <row r="3640" s="6" customFormat="1"/>
    <row r="3641" s="6" customFormat="1"/>
    <row r="3642" s="6" customFormat="1"/>
    <row r="3643" s="6" customFormat="1"/>
    <row r="3644" s="6" customFormat="1"/>
    <row r="3645" s="6" customFormat="1"/>
    <row r="3646" s="6" customFormat="1"/>
    <row r="3647" s="6" customFormat="1"/>
    <row r="3648" s="6" customFormat="1"/>
    <row r="3649" s="6" customFormat="1"/>
    <row r="3650" s="6" customFormat="1"/>
    <row r="3651" s="6" customFormat="1"/>
    <row r="3652" s="6" customFormat="1"/>
    <row r="3653" s="6" customFormat="1"/>
    <row r="3654" s="6" customFormat="1"/>
    <row r="3655" s="6" customFormat="1"/>
    <row r="3656" s="6" customFormat="1"/>
    <row r="3657" s="6" customFormat="1"/>
    <row r="3658" s="6" customFormat="1"/>
    <row r="3659" s="6" customFormat="1"/>
    <row r="3660" s="6" customFormat="1"/>
    <row r="3661" s="6" customFormat="1"/>
    <row r="3662" s="6" customFormat="1"/>
    <row r="3663" s="6" customFormat="1"/>
    <row r="3664" s="6" customFormat="1"/>
    <row r="3665" s="6" customFormat="1"/>
    <row r="3666" s="6" customFormat="1"/>
    <row r="3667" s="6" customFormat="1"/>
    <row r="3668" s="6" customFormat="1"/>
    <row r="3669" s="6" customFormat="1"/>
    <row r="3670" s="6" customFormat="1"/>
    <row r="3671" s="6" customFormat="1"/>
    <row r="3672" s="6" customFormat="1"/>
    <row r="3673" s="6" customFormat="1"/>
    <row r="3674" s="6" customFormat="1"/>
    <row r="3675" s="6" customFormat="1"/>
    <row r="3676" s="6" customFormat="1"/>
    <row r="3677" s="6" customFormat="1"/>
    <row r="3678" s="6" customFormat="1"/>
    <row r="3679" s="6" customFormat="1"/>
    <row r="3680" s="6" customFormat="1"/>
    <row r="3681" s="6" customFormat="1"/>
    <row r="3682" s="6" customFormat="1"/>
    <row r="3683" s="6" customFormat="1"/>
    <row r="3684" s="6" customFormat="1"/>
    <row r="3685" s="6" customFormat="1"/>
    <row r="3686" s="6" customFormat="1"/>
    <row r="3687" s="6" customFormat="1"/>
    <row r="3688" s="6" customFormat="1"/>
    <row r="3689" s="6" customFormat="1"/>
    <row r="3690" s="6" customFormat="1"/>
    <row r="3691" s="6" customFormat="1"/>
    <row r="3692" s="6" customFormat="1"/>
  </sheetData>
  <mergeCells count="3">
    <mergeCell ref="G22:I22"/>
    <mergeCell ref="G20:I20"/>
    <mergeCell ref="C30:C31"/>
  </mergeCells>
  <phoneticPr fontId="20" type="noConversion"/>
  <conditionalFormatting sqref="C20:C23">
    <cfRule type="colorScale" priority="3">
      <colorScale>
        <cfvo type="num" val="1"/>
        <cfvo type="num" val="2"/>
        <cfvo type="num" val="3"/>
        <color rgb="FFFF0000"/>
        <color theme="1" tint="0.499984740745262"/>
        <color rgb="FF30CB37"/>
      </colorScale>
    </cfRule>
  </conditionalFormatting>
  <conditionalFormatting sqref="N64">
    <cfRule type="colorScale" priority="2">
      <colorScale>
        <cfvo type="num" val="1"/>
        <cfvo type="num" val="2"/>
        <cfvo type="num" val="3"/>
        <color rgb="FFFF0000"/>
        <color theme="1" tint="0.499984740745262"/>
        <color rgb="FF30CB37"/>
      </colorScale>
    </cfRule>
  </conditionalFormatting>
  <conditionalFormatting sqref="N71">
    <cfRule type="colorScale" priority="1">
      <colorScale>
        <cfvo type="num" val="1"/>
        <cfvo type="num" val="2"/>
        <cfvo type="num" val="3"/>
        <color rgb="FFFF0000"/>
        <color theme="1" tint="0.499984740745262"/>
        <color rgb="FF30CB37"/>
      </colorScale>
    </cfRule>
  </conditionalFormatting>
  <hyperlinks>
    <hyperlink ref="S23" r:id="rId1" xr:uid="{DDC43A15-EB99-DF4A-8873-8578CCE00630}"/>
    <hyperlink ref="S25" r:id="rId2" xr:uid="{C4D902E6-20EB-9A45-9BDD-EF7E28CA6F58}"/>
    <hyperlink ref="H6" r:id="rId3" xr:uid="{382E7965-C145-E547-AD1C-D8DA4CC5C716}"/>
    <hyperlink ref="H7" r:id="rId4" xr:uid="{D142E451-54F3-014B-B820-FEC01FA6AC8E}"/>
  </hyperlinks>
  <pageMargins left="0.7" right="0.7" top="0.78740157499999996" bottom="0.78740157499999996" header="0.3" footer="0.3"/>
  <pageSetup paperSize="9" scale="20" orientation="portrait" horizontalDpi="0" verticalDpi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B559-1A57-8B43-9F0D-514D8DC1EE83}">
  <dimension ref="A1:AA39"/>
  <sheetViews>
    <sheetView workbookViewId="0">
      <pane xSplit="1" topLeftCell="M1" activePane="topRight" state="frozen"/>
      <selection pane="topRight" activeCell="Y28" sqref="Y28"/>
    </sheetView>
  </sheetViews>
  <sheetFormatPr baseColWidth="10" defaultRowHeight="16"/>
  <cols>
    <col min="1" max="1" width="46.6640625" bestFit="1" customWidth="1"/>
    <col min="4" max="4" width="13" customWidth="1"/>
  </cols>
  <sheetData>
    <row r="1" spans="1:27" s="167" customFormat="1" ht="11.25" customHeight="1">
      <c r="A1" s="165" t="s">
        <v>265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49"/>
    </row>
    <row r="2" spans="1:27" s="167" customForma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s="167" customFormat="1">
      <c r="A3" s="49"/>
      <c r="B3" s="168" t="s">
        <v>266</v>
      </c>
      <c r="C3" s="168" t="s">
        <v>126</v>
      </c>
      <c r="D3" s="168" t="s">
        <v>130</v>
      </c>
      <c r="E3" s="168" t="s">
        <v>134</v>
      </c>
      <c r="F3" s="168" t="s">
        <v>138</v>
      </c>
      <c r="G3" s="168" t="s">
        <v>142</v>
      </c>
      <c r="H3" s="168" t="s">
        <v>146</v>
      </c>
      <c r="I3" s="168" t="s">
        <v>150</v>
      </c>
      <c r="J3" s="168" t="s">
        <v>154</v>
      </c>
      <c r="K3" s="168" t="s">
        <v>158</v>
      </c>
      <c r="L3" s="168" t="s">
        <v>162</v>
      </c>
      <c r="M3" s="168" t="s">
        <v>166</v>
      </c>
      <c r="N3" s="168" t="s">
        <v>170</v>
      </c>
      <c r="O3" s="168" t="s">
        <v>174</v>
      </c>
      <c r="P3" s="168" t="s">
        <v>178</v>
      </c>
      <c r="Q3" s="168" t="s">
        <v>182</v>
      </c>
      <c r="R3" s="168" t="s">
        <v>186</v>
      </c>
      <c r="S3" s="168" t="s">
        <v>190</v>
      </c>
      <c r="T3" s="168" t="s">
        <v>194</v>
      </c>
      <c r="U3" s="168" t="s">
        <v>198</v>
      </c>
      <c r="V3" s="168" t="s">
        <v>202</v>
      </c>
      <c r="W3" s="168" t="s">
        <v>206</v>
      </c>
      <c r="X3" s="168" t="s">
        <v>210</v>
      </c>
      <c r="Y3" s="168" t="s">
        <v>214</v>
      </c>
      <c r="Z3" s="168" t="s">
        <v>267</v>
      </c>
      <c r="AA3" s="49"/>
    </row>
    <row r="4" spans="1:27" s="167" customFormat="1">
      <c r="A4" s="49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49"/>
    </row>
    <row r="5" spans="1:27" s="167" customFormat="1">
      <c r="A5" s="49" t="s">
        <v>5</v>
      </c>
      <c r="B5" s="49">
        <v>1369.471</v>
      </c>
      <c r="C5" s="49">
        <v>1909.4469999999999</v>
      </c>
      <c r="D5" s="49">
        <v>1822.9449999999999</v>
      </c>
      <c r="E5" s="49">
        <v>2010.0329999999999</v>
      </c>
      <c r="F5" s="49">
        <v>2375.6869999999999</v>
      </c>
      <c r="G5" s="49">
        <v>3068.7710000000002</v>
      </c>
      <c r="H5" s="49">
        <v>4097.8599999999997</v>
      </c>
      <c r="I5" s="49">
        <v>3424.8589999999999</v>
      </c>
      <c r="J5" s="49">
        <v>3326.4450000000002</v>
      </c>
      <c r="K5" s="49">
        <v>3543.3090000000002</v>
      </c>
      <c r="L5" s="49">
        <v>3997.93</v>
      </c>
      <c r="M5" s="49">
        <v>4280.1589999999997</v>
      </c>
      <c r="N5" s="49">
        <v>4130</v>
      </c>
      <c r="O5" s="49">
        <v>4682</v>
      </c>
      <c r="P5" s="49">
        <v>5010</v>
      </c>
      <c r="Q5" s="49">
        <v>6910</v>
      </c>
      <c r="R5" s="49">
        <v>9714</v>
      </c>
      <c r="S5" s="49">
        <v>11716</v>
      </c>
      <c r="T5" s="49">
        <v>10918</v>
      </c>
      <c r="U5" s="49">
        <v>16675</v>
      </c>
      <c r="V5" s="49">
        <v>26914</v>
      </c>
      <c r="W5" s="49">
        <v>26974</v>
      </c>
      <c r="X5" s="49">
        <v>60922</v>
      </c>
      <c r="Y5" s="49">
        <v>130497</v>
      </c>
      <c r="Z5" s="49">
        <v>148515</v>
      </c>
      <c r="AA5" s="49"/>
    </row>
    <row r="6" spans="1:27" s="167" customFormat="1">
      <c r="A6" s="49" t="s">
        <v>268</v>
      </c>
      <c r="B6" s="171">
        <v>850.23299999999995</v>
      </c>
      <c r="C6" s="171">
        <v>1333.4349999999999</v>
      </c>
      <c r="D6" s="171">
        <v>1294.067</v>
      </c>
      <c r="E6" s="171">
        <v>1362.4780000000001</v>
      </c>
      <c r="F6" s="171">
        <v>1465.654</v>
      </c>
      <c r="G6" s="171">
        <v>1768.3219999999999</v>
      </c>
      <c r="H6" s="171">
        <v>2228.58</v>
      </c>
      <c r="I6" s="171">
        <v>2250.59</v>
      </c>
      <c r="J6" s="171">
        <v>2149.5219999999999</v>
      </c>
      <c r="K6" s="171">
        <v>2134.2190000000001</v>
      </c>
      <c r="L6" s="171">
        <v>1941.413</v>
      </c>
      <c r="M6" s="171">
        <v>2053.8159999999998</v>
      </c>
      <c r="N6" s="171">
        <v>1862</v>
      </c>
      <c r="O6" s="171">
        <v>2083</v>
      </c>
      <c r="P6" s="171">
        <v>2199</v>
      </c>
      <c r="Q6" s="171">
        <v>2847</v>
      </c>
      <c r="R6" s="171">
        <v>3892</v>
      </c>
      <c r="S6" s="171">
        <v>4545</v>
      </c>
      <c r="T6" s="171">
        <v>4150</v>
      </c>
      <c r="U6" s="171">
        <v>6279</v>
      </c>
      <c r="V6" s="171">
        <v>9439</v>
      </c>
      <c r="W6" s="171">
        <v>11618</v>
      </c>
      <c r="X6" s="171">
        <v>16621</v>
      </c>
      <c r="Y6" s="171">
        <v>32639</v>
      </c>
      <c r="Z6" s="171">
        <v>44394</v>
      </c>
      <c r="AA6" s="49"/>
    </row>
    <row r="7" spans="1:27" s="167" customFormat="1">
      <c r="A7" s="49" t="s">
        <v>269</v>
      </c>
      <c r="B7" s="49">
        <v>519.23800000000006</v>
      </c>
      <c r="C7" s="49">
        <v>576.01199999999994</v>
      </c>
      <c r="D7" s="49">
        <v>528.87800000000004</v>
      </c>
      <c r="E7" s="49">
        <v>647.55499999999995</v>
      </c>
      <c r="F7" s="49">
        <v>910.03300000000002</v>
      </c>
      <c r="G7" s="49">
        <v>1300.4490000000001</v>
      </c>
      <c r="H7" s="49">
        <v>1869.28</v>
      </c>
      <c r="I7" s="49">
        <v>1174.269</v>
      </c>
      <c r="J7" s="49">
        <v>1176.923</v>
      </c>
      <c r="K7" s="49">
        <v>1409.09</v>
      </c>
      <c r="L7" s="49">
        <v>2056.5169999999998</v>
      </c>
      <c r="M7" s="49">
        <v>2226.3429999999998</v>
      </c>
      <c r="N7" s="49">
        <v>2268</v>
      </c>
      <c r="O7" s="49">
        <v>2599</v>
      </c>
      <c r="P7" s="49">
        <v>2811</v>
      </c>
      <c r="Q7" s="49">
        <v>4063</v>
      </c>
      <c r="R7" s="49">
        <v>5822</v>
      </c>
      <c r="S7" s="49">
        <v>7171</v>
      </c>
      <c r="T7" s="49">
        <v>6768</v>
      </c>
      <c r="U7" s="49">
        <v>10396</v>
      </c>
      <c r="V7" s="49">
        <v>17475</v>
      </c>
      <c r="W7" s="49">
        <v>15356</v>
      </c>
      <c r="X7" s="49">
        <v>44301</v>
      </c>
      <c r="Y7" s="49">
        <v>97858</v>
      </c>
      <c r="Z7" s="49">
        <v>104121</v>
      </c>
      <c r="AA7" s="49"/>
    </row>
    <row r="8" spans="1:27" s="167" customForma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s="167" customFormat="1">
      <c r="A9" s="169" t="s">
        <v>270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s="167" customFormat="1">
      <c r="A10" s="49" t="s">
        <v>271</v>
      </c>
      <c r="B10" s="49">
        <v>97.185000000000002</v>
      </c>
      <c r="C10" s="49">
        <v>207.15299999999999</v>
      </c>
      <c r="D10" s="49">
        <v>165.249</v>
      </c>
      <c r="E10" s="49">
        <v>204.15899999999999</v>
      </c>
      <c r="F10" s="49">
        <v>202.08799999999999</v>
      </c>
      <c r="G10" s="49">
        <v>293.52999999999997</v>
      </c>
      <c r="H10" s="49">
        <v>341.29700000000003</v>
      </c>
      <c r="I10" s="49">
        <v>362.22199999999998</v>
      </c>
      <c r="J10" s="49">
        <v>367.017</v>
      </c>
      <c r="K10" s="49">
        <v>361.51299999999998</v>
      </c>
      <c r="L10" s="49">
        <v>405.613</v>
      </c>
      <c r="M10" s="49">
        <v>430.822</v>
      </c>
      <c r="N10" s="49">
        <v>436</v>
      </c>
      <c r="O10" s="49">
        <v>480</v>
      </c>
      <c r="P10" s="49">
        <v>602</v>
      </c>
      <c r="Q10" s="49">
        <v>663</v>
      </c>
      <c r="R10" s="49">
        <v>815</v>
      </c>
      <c r="S10" s="49">
        <v>991</v>
      </c>
      <c r="T10" s="49">
        <v>1093</v>
      </c>
      <c r="U10" s="49">
        <v>1940</v>
      </c>
      <c r="V10" s="49">
        <v>2166</v>
      </c>
      <c r="W10" s="49">
        <v>2440</v>
      </c>
      <c r="X10" s="49">
        <v>2654</v>
      </c>
      <c r="Y10" s="49">
        <v>3491</v>
      </c>
      <c r="Z10" s="49">
        <v>3755</v>
      </c>
      <c r="AA10" s="49"/>
    </row>
    <row r="11" spans="1:27" s="167" customFormat="1">
      <c r="A11" s="49" t="s">
        <v>272</v>
      </c>
      <c r="B11" s="49">
        <v>153.91999999999999</v>
      </c>
      <c r="C11" s="49">
        <v>224.87299999999999</v>
      </c>
      <c r="D11" s="49">
        <v>269.97199999999998</v>
      </c>
      <c r="E11" s="49">
        <v>348.22</v>
      </c>
      <c r="F11" s="49">
        <v>357.12299999999999</v>
      </c>
      <c r="G11" s="49">
        <v>553.46699999999998</v>
      </c>
      <c r="H11" s="49">
        <v>691.63699999999994</v>
      </c>
      <c r="I11" s="49">
        <v>855.87900000000002</v>
      </c>
      <c r="J11" s="49">
        <v>908.851</v>
      </c>
      <c r="K11" s="49">
        <v>848.83</v>
      </c>
      <c r="L11" s="49">
        <v>1002.605</v>
      </c>
      <c r="M11" s="49">
        <v>1147.2819999999999</v>
      </c>
      <c r="N11" s="49">
        <v>1336</v>
      </c>
      <c r="O11" s="49">
        <v>1360</v>
      </c>
      <c r="P11" s="49">
        <v>1331</v>
      </c>
      <c r="Q11" s="49">
        <v>1463</v>
      </c>
      <c r="R11" s="49">
        <v>1797</v>
      </c>
      <c r="S11" s="49">
        <v>2376</v>
      </c>
      <c r="T11" s="49">
        <v>2829</v>
      </c>
      <c r="U11" s="49">
        <v>3924</v>
      </c>
      <c r="V11" s="49">
        <v>5268</v>
      </c>
      <c r="W11" s="49">
        <v>7339</v>
      </c>
      <c r="X11" s="49">
        <v>8675</v>
      </c>
      <c r="Y11" s="49">
        <v>12914</v>
      </c>
      <c r="Z11" s="49">
        <v>14183</v>
      </c>
      <c r="AA11" s="49"/>
    </row>
    <row r="12" spans="1:27" s="167" customFormat="1">
      <c r="A12" s="49" t="s">
        <v>273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s="167" customFormat="1">
      <c r="A13" s="49" t="s">
        <v>274</v>
      </c>
      <c r="B13" s="171">
        <v>16.370999999999999</v>
      </c>
      <c r="C13" s="171"/>
      <c r="D13" s="171"/>
      <c r="E13" s="171"/>
      <c r="F13" s="171">
        <v>14.157999999999999</v>
      </c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49"/>
    </row>
    <row r="14" spans="1:27" s="167" customFormat="1">
      <c r="A14" s="169" t="s">
        <v>275</v>
      </c>
      <c r="B14" s="49">
        <v>251.762</v>
      </c>
      <c r="C14" s="49">
        <v>143.98599999999999</v>
      </c>
      <c r="D14" s="49">
        <v>93.656999999999996</v>
      </c>
      <c r="E14" s="49">
        <v>95.176000000000002</v>
      </c>
      <c r="F14" s="49">
        <v>336.66399999999999</v>
      </c>
      <c r="G14" s="49">
        <v>453.452</v>
      </c>
      <c r="H14" s="49">
        <v>836.346</v>
      </c>
      <c r="I14" s="49">
        <v>-43.832000000000001</v>
      </c>
      <c r="J14" s="49">
        <v>-98.944999999999993</v>
      </c>
      <c r="K14" s="49">
        <v>198.74700000000001</v>
      </c>
      <c r="L14" s="49">
        <v>648.29899999999998</v>
      </c>
      <c r="M14" s="49">
        <v>648.23900000000003</v>
      </c>
      <c r="N14" s="49">
        <v>496</v>
      </c>
      <c r="O14" s="49">
        <v>759</v>
      </c>
      <c r="P14" s="49">
        <v>878</v>
      </c>
      <c r="Q14" s="49">
        <v>1937</v>
      </c>
      <c r="R14" s="49">
        <v>3210</v>
      </c>
      <c r="S14" s="49">
        <v>3804</v>
      </c>
      <c r="T14" s="49">
        <v>2846</v>
      </c>
      <c r="U14" s="49">
        <v>4532</v>
      </c>
      <c r="V14" s="49">
        <v>10041</v>
      </c>
      <c r="W14" s="49">
        <v>5577</v>
      </c>
      <c r="X14" s="49">
        <v>32972</v>
      </c>
      <c r="Y14" s="49">
        <v>81453</v>
      </c>
      <c r="Z14" s="49">
        <v>86183</v>
      </c>
      <c r="AA14" s="49"/>
    </row>
    <row r="15" spans="1:27" s="167" customForma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s="167" customFormat="1">
      <c r="A16" s="49" t="s">
        <v>276</v>
      </c>
      <c r="B16" s="49"/>
      <c r="C16" s="49"/>
      <c r="D16" s="49"/>
      <c r="E16" s="49"/>
      <c r="F16" s="49"/>
      <c r="G16" s="49"/>
      <c r="H16" s="49"/>
      <c r="I16" s="49">
        <v>42.453000000000003</v>
      </c>
      <c r="J16" s="49">
        <v>19.795000000000002</v>
      </c>
      <c r="K16" s="49">
        <v>15.93</v>
      </c>
      <c r="L16" s="49">
        <v>16.059999999999999</v>
      </c>
      <c r="M16" s="49">
        <v>16.614000000000001</v>
      </c>
      <c r="N16" s="49">
        <v>7</v>
      </c>
      <c r="O16" s="49">
        <v>-18</v>
      </c>
      <c r="P16" s="49">
        <v>-8</v>
      </c>
      <c r="Q16" s="49">
        <v>-4</v>
      </c>
      <c r="R16" s="49">
        <v>8</v>
      </c>
      <c r="S16" s="49">
        <v>78</v>
      </c>
      <c r="T16" s="49">
        <v>126</v>
      </c>
      <c r="U16" s="49">
        <v>-127</v>
      </c>
      <c r="V16" s="49">
        <v>-207</v>
      </c>
      <c r="W16" s="49">
        <v>5</v>
      </c>
      <c r="X16" s="49">
        <v>609</v>
      </c>
      <c r="Y16" s="49">
        <v>1539</v>
      </c>
      <c r="Z16" s="49">
        <v>1696</v>
      </c>
      <c r="AA16" s="49"/>
    </row>
    <row r="17" spans="1:27" s="167" customFormat="1">
      <c r="A17" s="49" t="s">
        <v>277</v>
      </c>
      <c r="B17" s="171">
        <v>0.98699999999999999</v>
      </c>
      <c r="C17" s="171">
        <v>6.5709999999999997</v>
      </c>
      <c r="D17" s="171">
        <v>-6.984</v>
      </c>
      <c r="E17" s="171">
        <v>11.852</v>
      </c>
      <c r="F17" s="171">
        <v>20.123999999999999</v>
      </c>
      <c r="G17" s="171">
        <v>41.027999999999999</v>
      </c>
      <c r="H17" s="171">
        <v>64.995000000000005</v>
      </c>
      <c r="I17" s="171">
        <v>-41.575000000000003</v>
      </c>
      <c r="J17" s="171">
        <v>-3.1440000000000001</v>
      </c>
      <c r="K17" s="171">
        <v>56.491999999999997</v>
      </c>
      <c r="L17" s="171">
        <v>-0.96299999999999997</v>
      </c>
      <c r="M17" s="171">
        <v>-2.8140000000000001</v>
      </c>
      <c r="N17" s="171">
        <v>7</v>
      </c>
      <c r="O17" s="171">
        <v>14</v>
      </c>
      <c r="P17" s="171">
        <v>-127</v>
      </c>
      <c r="Q17" s="171">
        <v>-28</v>
      </c>
      <c r="R17" s="171">
        <v>-22</v>
      </c>
      <c r="S17" s="171">
        <v>14</v>
      </c>
      <c r="T17" s="171">
        <v>-2</v>
      </c>
      <c r="U17" s="171">
        <v>4</v>
      </c>
      <c r="V17" s="171">
        <v>107</v>
      </c>
      <c r="W17" s="171">
        <v>-1401</v>
      </c>
      <c r="X17" s="171">
        <v>237</v>
      </c>
      <c r="Y17" s="171">
        <v>1034</v>
      </c>
      <c r="Z17" s="171">
        <v>778</v>
      </c>
      <c r="AA17" s="49"/>
    </row>
    <row r="18" spans="1:27" s="167" customFormat="1">
      <c r="A18" s="49" t="s">
        <v>278</v>
      </c>
      <c r="B18" s="169">
        <v>252.749</v>
      </c>
      <c r="C18" s="169">
        <v>150.55699999999999</v>
      </c>
      <c r="D18" s="169">
        <v>86.673000000000002</v>
      </c>
      <c r="E18" s="169">
        <v>107.02800000000001</v>
      </c>
      <c r="F18" s="169">
        <v>356.78800000000001</v>
      </c>
      <c r="G18" s="169">
        <v>494.48</v>
      </c>
      <c r="H18" s="169">
        <v>901.34100000000001</v>
      </c>
      <c r="I18" s="169">
        <v>-42.954000000000001</v>
      </c>
      <c r="J18" s="169">
        <v>-82.293999999999997</v>
      </c>
      <c r="K18" s="169">
        <v>271.16899999999998</v>
      </c>
      <c r="L18" s="169">
        <v>663.39599999999996</v>
      </c>
      <c r="M18" s="169">
        <v>662.03899999999999</v>
      </c>
      <c r="N18" s="169">
        <v>510</v>
      </c>
      <c r="O18" s="169">
        <v>755</v>
      </c>
      <c r="P18" s="169">
        <v>743</v>
      </c>
      <c r="Q18" s="169">
        <v>1905</v>
      </c>
      <c r="R18" s="169">
        <v>3196</v>
      </c>
      <c r="S18" s="169">
        <v>3896</v>
      </c>
      <c r="T18" s="169">
        <v>2970</v>
      </c>
      <c r="U18" s="169">
        <v>4409</v>
      </c>
      <c r="V18" s="169">
        <v>9941</v>
      </c>
      <c r="W18" s="169">
        <v>4181</v>
      </c>
      <c r="X18" s="169">
        <v>33818</v>
      </c>
      <c r="Y18" s="169">
        <v>84026</v>
      </c>
      <c r="Z18" s="169">
        <v>88657</v>
      </c>
      <c r="AA18" s="49"/>
    </row>
    <row r="19" spans="1:27" s="167" customFormat="1">
      <c r="A19" s="4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49"/>
    </row>
    <row r="20" spans="1:27" s="167" customFormat="1">
      <c r="A20" s="49" t="s">
        <v>279</v>
      </c>
      <c r="B20" s="171">
        <v>-75.825000000000003</v>
      </c>
      <c r="C20" s="171">
        <v>-59.758000000000003</v>
      </c>
      <c r="D20" s="171">
        <v>-12.254</v>
      </c>
      <c r="E20" s="171">
        <v>-18.413</v>
      </c>
      <c r="F20" s="171">
        <v>-55.612000000000002</v>
      </c>
      <c r="G20" s="171">
        <v>-46.35</v>
      </c>
      <c r="H20" s="171">
        <v>-103.696</v>
      </c>
      <c r="I20" s="171">
        <v>12.913</v>
      </c>
      <c r="J20" s="171">
        <v>14.307</v>
      </c>
      <c r="K20" s="171">
        <v>-18.023</v>
      </c>
      <c r="L20" s="171">
        <v>-82.305999999999997</v>
      </c>
      <c r="M20" s="171">
        <v>-99.503</v>
      </c>
      <c r="N20" s="171">
        <v>-70</v>
      </c>
      <c r="O20" s="171">
        <v>-124</v>
      </c>
      <c r="P20" s="171">
        <v>-129</v>
      </c>
      <c r="Q20" s="171">
        <v>-239</v>
      </c>
      <c r="R20" s="171">
        <v>-149</v>
      </c>
      <c r="S20" s="171">
        <v>245</v>
      </c>
      <c r="T20" s="171">
        <v>-174</v>
      </c>
      <c r="U20" s="171">
        <v>-77</v>
      </c>
      <c r="V20" s="171">
        <v>-189</v>
      </c>
      <c r="W20" s="171">
        <v>187</v>
      </c>
      <c r="X20" s="171">
        <v>-4058</v>
      </c>
      <c r="Y20" s="171">
        <v>-11146</v>
      </c>
      <c r="Z20" s="171">
        <v>-11883</v>
      </c>
      <c r="AA20" s="49"/>
    </row>
    <row r="21" spans="1:27" s="167" customFormat="1">
      <c r="A21" s="49" t="s">
        <v>280</v>
      </c>
      <c r="B21" s="169">
        <v>176.92400000000001</v>
      </c>
      <c r="C21" s="169">
        <v>90.799000000000007</v>
      </c>
      <c r="D21" s="169">
        <v>74.418999999999997</v>
      </c>
      <c r="E21" s="169">
        <v>88.614999999999995</v>
      </c>
      <c r="F21" s="169">
        <v>301.17599999999999</v>
      </c>
      <c r="G21" s="169">
        <v>448.13</v>
      </c>
      <c r="H21" s="169">
        <v>797.64499999999998</v>
      </c>
      <c r="I21" s="169">
        <v>-30.041</v>
      </c>
      <c r="J21" s="169">
        <v>-67.986999999999995</v>
      </c>
      <c r="K21" s="169">
        <v>253.14599999999999</v>
      </c>
      <c r="L21" s="169">
        <v>581.09</v>
      </c>
      <c r="M21" s="169">
        <v>562.53599999999994</v>
      </c>
      <c r="N21" s="169">
        <v>440</v>
      </c>
      <c r="O21" s="169">
        <v>631</v>
      </c>
      <c r="P21" s="169">
        <v>614</v>
      </c>
      <c r="Q21" s="169">
        <v>1666</v>
      </c>
      <c r="R21" s="169">
        <v>3047</v>
      </c>
      <c r="S21" s="169">
        <v>4141</v>
      </c>
      <c r="T21" s="169">
        <v>2796</v>
      </c>
      <c r="U21" s="169">
        <v>4332</v>
      </c>
      <c r="V21" s="169">
        <v>9752</v>
      </c>
      <c r="W21" s="169">
        <v>4368</v>
      </c>
      <c r="X21" s="169">
        <v>29760</v>
      </c>
      <c r="Y21" s="169">
        <v>72880</v>
      </c>
      <c r="Z21" s="169">
        <v>76774</v>
      </c>
      <c r="AA21" s="49"/>
    </row>
    <row r="22" spans="1:27" s="167" customFormat="1">
      <c r="A22" s="4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49"/>
    </row>
    <row r="23" spans="1:27" s="167" customFormat="1">
      <c r="A23" s="49" t="s">
        <v>281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s="167" customFormat="1">
      <c r="A24" s="49" t="s">
        <v>253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s="167" customFormat="1">
      <c r="A25" s="49" t="s">
        <v>282</v>
      </c>
      <c r="B25" s="49">
        <v>2.8421709430404001E-14</v>
      </c>
      <c r="C25" s="49">
        <v>2.8421709430404001E-14</v>
      </c>
      <c r="D25" s="49"/>
      <c r="E25" s="49">
        <v>-1.4210854715202001E-14</v>
      </c>
      <c r="F25" s="49"/>
      <c r="G25" s="49">
        <v>0.70400000000001006</v>
      </c>
      <c r="H25" s="49"/>
      <c r="I25" s="49"/>
      <c r="J25" s="49"/>
      <c r="K25" s="49"/>
      <c r="L25" s="49">
        <v>1.1368683772161999E-13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s="167" customFormat="1" ht="11.25" customHeight="1" thickBot="1">
      <c r="A26" s="169" t="s">
        <v>283</v>
      </c>
      <c r="B26" s="175">
        <v>176.92400000000001</v>
      </c>
      <c r="C26" s="175">
        <v>90.799000000000007</v>
      </c>
      <c r="D26" s="175">
        <v>74.418999999999997</v>
      </c>
      <c r="E26" s="175">
        <v>88.614999999999995</v>
      </c>
      <c r="F26" s="175">
        <v>301.17599999999999</v>
      </c>
      <c r="G26" s="175">
        <v>448.834</v>
      </c>
      <c r="H26" s="175">
        <v>797.64499999999998</v>
      </c>
      <c r="I26" s="175">
        <v>-30.041</v>
      </c>
      <c r="J26" s="175">
        <v>-67.986999999999995</v>
      </c>
      <c r="K26" s="175">
        <v>253.14599999999999</v>
      </c>
      <c r="L26" s="175">
        <v>581.09</v>
      </c>
      <c r="M26" s="175">
        <v>562.53599999999994</v>
      </c>
      <c r="N26" s="175">
        <v>440</v>
      </c>
      <c r="O26" s="175">
        <v>631</v>
      </c>
      <c r="P26" s="175">
        <v>614</v>
      </c>
      <c r="Q26" s="175">
        <v>1666</v>
      </c>
      <c r="R26" s="175">
        <v>3047</v>
      </c>
      <c r="S26" s="175">
        <v>4141</v>
      </c>
      <c r="T26" s="175">
        <v>2796</v>
      </c>
      <c r="U26" s="175">
        <v>4332</v>
      </c>
      <c r="V26" s="175">
        <v>9752</v>
      </c>
      <c r="W26" s="175">
        <v>4368</v>
      </c>
      <c r="X26" s="175">
        <v>29760</v>
      </c>
      <c r="Y26" s="175">
        <v>72880</v>
      </c>
      <c r="Z26" s="175">
        <v>76774</v>
      </c>
      <c r="AA26" s="49"/>
    </row>
    <row r="27" spans="1:27" s="167" customFormat="1" ht="11.25" customHeight="1" thickTop="1">
      <c r="A27" s="4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49"/>
    </row>
    <row r="28" spans="1:27" s="167" customFormat="1">
      <c r="A28" s="49" t="s">
        <v>284</v>
      </c>
      <c r="B28" s="176">
        <v>0.01</v>
      </c>
      <c r="C28" s="176">
        <v>0.01</v>
      </c>
      <c r="D28" s="176"/>
      <c r="E28" s="176">
        <v>0.01</v>
      </c>
      <c r="F28" s="176">
        <v>0.02</v>
      </c>
      <c r="G28" s="176">
        <v>0.02</v>
      </c>
      <c r="H28" s="176">
        <v>0.04</v>
      </c>
      <c r="I28" s="176"/>
      <c r="J28" s="176"/>
      <c r="K28" s="176">
        <v>0.01</v>
      </c>
      <c r="L28" s="176">
        <v>0.02</v>
      </c>
      <c r="M28" s="176">
        <v>0.02</v>
      </c>
      <c r="N28" s="176">
        <v>0.02</v>
      </c>
      <c r="O28" s="176">
        <v>0.03</v>
      </c>
      <c r="P28" s="176">
        <v>0.03</v>
      </c>
      <c r="Q28" s="176">
        <v>0.08</v>
      </c>
      <c r="R28" s="176">
        <v>0.13</v>
      </c>
      <c r="S28" s="176">
        <v>0.17</v>
      </c>
      <c r="T28" s="176">
        <v>0.12</v>
      </c>
      <c r="U28" s="176">
        <v>0.18</v>
      </c>
      <c r="V28" s="176">
        <v>0.39</v>
      </c>
      <c r="W28" s="176">
        <v>0.18</v>
      </c>
      <c r="X28" s="176">
        <v>1.21</v>
      </c>
      <c r="Y28" s="176">
        <v>2.97</v>
      </c>
      <c r="Z28" s="176">
        <v>3.14</v>
      </c>
      <c r="AA28" s="49"/>
    </row>
    <row r="29" spans="1:27" s="167" customFormat="1">
      <c r="A29" s="49" t="s">
        <v>285</v>
      </c>
      <c r="B29" s="176">
        <v>0.01</v>
      </c>
      <c r="C29" s="176">
        <v>0.01</v>
      </c>
      <c r="D29" s="176"/>
      <c r="E29" s="176"/>
      <c r="F29" s="176">
        <v>0.01</v>
      </c>
      <c r="G29" s="176">
        <v>0.02</v>
      </c>
      <c r="H29" s="176">
        <v>0.03</v>
      </c>
      <c r="I29" s="176"/>
      <c r="J29" s="176"/>
      <c r="K29" s="176">
        <v>0.01</v>
      </c>
      <c r="L29" s="176">
        <v>0.02</v>
      </c>
      <c r="M29" s="176">
        <v>0.02</v>
      </c>
      <c r="N29" s="176">
        <v>0.02</v>
      </c>
      <c r="O29" s="176">
        <v>0.03</v>
      </c>
      <c r="P29" s="176">
        <v>0.03</v>
      </c>
      <c r="Q29" s="176">
        <v>0.06</v>
      </c>
      <c r="R29" s="176">
        <v>0.12</v>
      </c>
      <c r="S29" s="176">
        <v>0.17</v>
      </c>
      <c r="T29" s="176">
        <v>0.11</v>
      </c>
      <c r="U29" s="176">
        <v>0.17</v>
      </c>
      <c r="V29" s="176">
        <v>0.39</v>
      </c>
      <c r="W29" s="176">
        <v>0.17</v>
      </c>
      <c r="X29" s="176">
        <v>1.19</v>
      </c>
      <c r="Y29" s="176">
        <v>2.94</v>
      </c>
      <c r="Z29" s="176">
        <v>3.1</v>
      </c>
      <c r="AA29" s="49"/>
    </row>
    <row r="30" spans="1:27" s="167" customFormat="1">
      <c r="A30" s="49"/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49"/>
    </row>
    <row r="31" spans="1:27" s="167" customFormat="1">
      <c r="A31" s="49" t="s">
        <v>286</v>
      </c>
      <c r="B31" s="49">
        <v>17153.223000000002</v>
      </c>
      <c r="C31" s="49">
        <v>18412.353999999999</v>
      </c>
      <c r="D31" s="49">
        <v>19301.228999999999</v>
      </c>
      <c r="E31" s="49">
        <v>19917.481</v>
      </c>
      <c r="F31" s="49">
        <v>20352.624</v>
      </c>
      <c r="G31" s="49">
        <v>21133.672999999999</v>
      </c>
      <c r="H31" s="49">
        <v>22004.32</v>
      </c>
      <c r="I31" s="49">
        <v>21925.040000000001</v>
      </c>
      <c r="J31" s="49">
        <v>21982.959999999999</v>
      </c>
      <c r="K31" s="49">
        <v>23007.08</v>
      </c>
      <c r="L31" s="49">
        <v>24145.84</v>
      </c>
      <c r="M31" s="49">
        <v>24772.959999999999</v>
      </c>
      <c r="N31" s="49">
        <v>23520</v>
      </c>
      <c r="O31" s="49">
        <v>22080</v>
      </c>
      <c r="P31" s="49">
        <v>21720</v>
      </c>
      <c r="Q31" s="49">
        <v>21640</v>
      </c>
      <c r="R31" s="49">
        <v>23960</v>
      </c>
      <c r="S31" s="49">
        <v>24320</v>
      </c>
      <c r="T31" s="49">
        <v>24390</v>
      </c>
      <c r="U31" s="49">
        <v>24670</v>
      </c>
      <c r="V31" s="49">
        <v>24960</v>
      </c>
      <c r="W31" s="49">
        <v>24870</v>
      </c>
      <c r="X31" s="49">
        <v>24690</v>
      </c>
      <c r="Y31" s="49">
        <v>24555</v>
      </c>
      <c r="Z31" s="49">
        <v>24555</v>
      </c>
      <c r="AA31" s="49"/>
    </row>
    <row r="32" spans="1:27" s="167" customFormat="1">
      <c r="A32" s="49" t="s">
        <v>287</v>
      </c>
      <c r="B32" s="49">
        <v>20518.620999999999</v>
      </c>
      <c r="C32" s="49">
        <v>20197.061000000002</v>
      </c>
      <c r="D32" s="49">
        <v>20714.483</v>
      </c>
      <c r="E32" s="49">
        <v>21086.897000000001</v>
      </c>
      <c r="F32" s="49">
        <v>21931.274000000001</v>
      </c>
      <c r="G32" s="49">
        <v>23478.501</v>
      </c>
      <c r="H32" s="49">
        <v>24269.279999999999</v>
      </c>
      <c r="I32" s="49">
        <v>21925.040000000001</v>
      </c>
      <c r="J32" s="49">
        <v>21982.959999999999</v>
      </c>
      <c r="K32" s="49">
        <v>23547.360000000001</v>
      </c>
      <c r="L32" s="49">
        <v>24654.84</v>
      </c>
      <c r="M32" s="49">
        <v>24998.28</v>
      </c>
      <c r="N32" s="49">
        <v>23800</v>
      </c>
      <c r="O32" s="49">
        <v>22520</v>
      </c>
      <c r="P32" s="49">
        <v>22760</v>
      </c>
      <c r="Q32" s="49">
        <v>25960</v>
      </c>
      <c r="R32" s="49">
        <v>25280</v>
      </c>
      <c r="S32" s="49">
        <v>25000</v>
      </c>
      <c r="T32" s="49">
        <v>24720</v>
      </c>
      <c r="U32" s="49">
        <v>25100</v>
      </c>
      <c r="V32" s="49">
        <v>25350</v>
      </c>
      <c r="W32" s="49">
        <v>25070</v>
      </c>
      <c r="X32" s="49">
        <v>24940</v>
      </c>
      <c r="Y32" s="49">
        <v>24804</v>
      </c>
      <c r="Z32" s="49">
        <v>24804</v>
      </c>
      <c r="AA32" s="49"/>
    </row>
    <row r="33" spans="1:27" s="167" customForma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s="167" customFormat="1">
      <c r="A34" s="169" t="s">
        <v>288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s="167" customFormat="1">
      <c r="A35" s="49" t="s">
        <v>275</v>
      </c>
      <c r="B35" s="173">
        <f>'[1]Income Statement'!B14</f>
        <v>251.762</v>
      </c>
      <c r="C35" s="173">
        <f>'[1]Income Statement'!C14</f>
        <v>143.98599999999999</v>
      </c>
      <c r="D35" s="173">
        <f>'[1]Income Statement'!D14</f>
        <v>93.656999999999996</v>
      </c>
      <c r="E35" s="173">
        <f>'[1]Income Statement'!E14</f>
        <v>95.176000000000002</v>
      </c>
      <c r="F35" s="173">
        <f>'[1]Income Statement'!F14</f>
        <v>336.66399999999999</v>
      </c>
      <c r="G35" s="173">
        <f>'[1]Income Statement'!G14</f>
        <v>453.452</v>
      </c>
      <c r="H35" s="173">
        <f>'[1]Income Statement'!H14</f>
        <v>836.346</v>
      </c>
      <c r="I35" s="173">
        <f>'[1]Income Statement'!I14</f>
        <v>-43.832000000000001</v>
      </c>
      <c r="J35" s="173">
        <f>'[1]Income Statement'!J14</f>
        <v>-98.944999999999993</v>
      </c>
      <c r="K35" s="173">
        <f>'[1]Income Statement'!K14</f>
        <v>198.74700000000001</v>
      </c>
      <c r="L35" s="173">
        <f>'[1]Income Statement'!L14</f>
        <v>648.29899999999998</v>
      </c>
      <c r="M35" s="173">
        <f>'[1]Income Statement'!M14</f>
        <v>648.23900000000003</v>
      </c>
      <c r="N35" s="173">
        <f>'[1]Income Statement'!N14</f>
        <v>496</v>
      </c>
      <c r="O35" s="173">
        <f>'[1]Income Statement'!O14</f>
        <v>759</v>
      </c>
      <c r="P35" s="173">
        <f>'[1]Income Statement'!P14</f>
        <v>878</v>
      </c>
      <c r="Q35" s="173">
        <f>'[1]Income Statement'!Q14</f>
        <v>1937</v>
      </c>
      <c r="R35" s="173">
        <f>'[1]Income Statement'!R14</f>
        <v>3210</v>
      </c>
      <c r="S35" s="173">
        <f>'[1]Income Statement'!S14</f>
        <v>3804</v>
      </c>
      <c r="T35" s="173">
        <f>'[1]Income Statement'!T14</f>
        <v>2846</v>
      </c>
      <c r="U35" s="173">
        <f>'[1]Income Statement'!U14</f>
        <v>4532</v>
      </c>
      <c r="V35" s="173">
        <f>'[1]Income Statement'!V14</f>
        <v>10041</v>
      </c>
      <c r="W35" s="173">
        <f>'[1]Income Statement'!W14</f>
        <v>5577</v>
      </c>
      <c r="X35" s="173">
        <f>'[1]Income Statement'!X14</f>
        <v>32972</v>
      </c>
      <c r="Y35" s="173">
        <f>'[1]Income Statement'!Y14</f>
        <v>81453</v>
      </c>
      <c r="Z35" s="173">
        <f>'[1]Income Statement'!Z14</f>
        <v>86183</v>
      </c>
      <c r="AA35" s="49"/>
    </row>
    <row r="36" spans="1:27" s="167" customFormat="1">
      <c r="A36" s="49" t="s">
        <v>289</v>
      </c>
      <c r="B36" s="174">
        <f>'[1]Cash Flow Statement'!B7</f>
        <v>43.497</v>
      </c>
      <c r="C36" s="174">
        <f>'[1]Cash Flow Statement'!C7</f>
        <v>58.216000000000001</v>
      </c>
      <c r="D36" s="174">
        <f>'[1]Cash Flow Statement'!D7</f>
        <v>82.688000000000002</v>
      </c>
      <c r="E36" s="174">
        <f>'[1]Cash Flow Statement'!E7</f>
        <v>102.59699999999999</v>
      </c>
      <c r="F36" s="174">
        <f>'[1]Cash Flow Statement'!F7</f>
        <v>97.977000000000004</v>
      </c>
      <c r="G36" s="174">
        <f>'[1]Cash Flow Statement'!G7</f>
        <v>107.562</v>
      </c>
      <c r="H36" s="174">
        <f>'[1]Cash Flow Statement'!H7</f>
        <v>133.19200000000001</v>
      </c>
      <c r="I36" s="174">
        <f>'[1]Cash Flow Statement'!I7</f>
        <v>185.023</v>
      </c>
      <c r="J36" s="174">
        <f>'[1]Cash Flow Statement'!J7</f>
        <v>196.66399999999999</v>
      </c>
      <c r="K36" s="174">
        <f>'[1]Cash Flow Statement'!K7</f>
        <v>187</v>
      </c>
      <c r="L36" s="174">
        <f>'[1]Cash Flow Statement'!L7</f>
        <v>204.2</v>
      </c>
      <c r="M36" s="174">
        <f>'[1]Cash Flow Statement'!M7</f>
        <v>226</v>
      </c>
      <c r="N36" s="174">
        <f>'[1]Cash Flow Statement'!N7</f>
        <v>237</v>
      </c>
      <c r="O36" s="174">
        <f>'[1]Cash Flow Statement'!O7</f>
        <v>220</v>
      </c>
      <c r="P36" s="174">
        <f>'[1]Cash Flow Statement'!P7</f>
        <v>197</v>
      </c>
      <c r="Q36" s="174">
        <f>'[1]Cash Flow Statement'!Q7</f>
        <v>186</v>
      </c>
      <c r="R36" s="174">
        <f>'[1]Cash Flow Statement'!R7</f>
        <v>199</v>
      </c>
      <c r="S36" s="174">
        <f>'[1]Cash Flow Statement'!S7</f>
        <v>262</v>
      </c>
      <c r="T36" s="174">
        <f>'[1]Cash Flow Statement'!T7</f>
        <v>380</v>
      </c>
      <c r="U36" s="174">
        <f>'[1]Cash Flow Statement'!U7</f>
        <v>1098</v>
      </c>
      <c r="V36" s="174">
        <f>'[1]Cash Flow Statement'!V7</f>
        <v>1174</v>
      </c>
      <c r="W36" s="174">
        <f>'[1]Cash Flow Statement'!W7</f>
        <v>1543</v>
      </c>
      <c r="X36" s="174">
        <f>'[1]Cash Flow Statement'!X7</f>
        <v>1508</v>
      </c>
      <c r="Y36" s="174">
        <f>'[1]Cash Flow Statement'!Y7</f>
        <v>1864</v>
      </c>
      <c r="Z36" s="174">
        <f>'[1]Cash Flow Statement'!Z7</f>
        <v>2065</v>
      </c>
      <c r="AA36" s="49"/>
    </row>
    <row r="37" spans="1:27" s="167" customFormat="1">
      <c r="A37" s="49" t="s">
        <v>290</v>
      </c>
      <c r="B37" s="49">
        <f t="shared" ref="B37:Z37" si="0">B35+B36</f>
        <v>295.25900000000001</v>
      </c>
      <c r="C37" s="49">
        <f t="shared" si="0"/>
        <v>202.202</v>
      </c>
      <c r="D37" s="49">
        <f t="shared" si="0"/>
        <v>176.345</v>
      </c>
      <c r="E37" s="49">
        <f t="shared" si="0"/>
        <v>197.773</v>
      </c>
      <c r="F37" s="49">
        <f t="shared" si="0"/>
        <v>434.64099999999996</v>
      </c>
      <c r="G37" s="49">
        <f t="shared" si="0"/>
        <v>561.01400000000001</v>
      </c>
      <c r="H37" s="49">
        <f t="shared" si="0"/>
        <v>969.53800000000001</v>
      </c>
      <c r="I37" s="49">
        <f t="shared" si="0"/>
        <v>141.191</v>
      </c>
      <c r="J37" s="49">
        <f t="shared" si="0"/>
        <v>97.718999999999994</v>
      </c>
      <c r="K37" s="49">
        <f t="shared" si="0"/>
        <v>385.74700000000001</v>
      </c>
      <c r="L37" s="49">
        <f t="shared" si="0"/>
        <v>852.49900000000002</v>
      </c>
      <c r="M37" s="49">
        <f t="shared" si="0"/>
        <v>874.23900000000003</v>
      </c>
      <c r="N37" s="49">
        <f t="shared" si="0"/>
        <v>733</v>
      </c>
      <c r="O37" s="49">
        <f t="shared" si="0"/>
        <v>979</v>
      </c>
      <c r="P37" s="49">
        <f t="shared" si="0"/>
        <v>1075</v>
      </c>
      <c r="Q37" s="49">
        <f t="shared" si="0"/>
        <v>2123</v>
      </c>
      <c r="R37" s="49">
        <f t="shared" si="0"/>
        <v>3409</v>
      </c>
      <c r="S37" s="49">
        <f t="shared" si="0"/>
        <v>4066</v>
      </c>
      <c r="T37" s="49">
        <f t="shared" si="0"/>
        <v>3226</v>
      </c>
      <c r="U37" s="49">
        <f t="shared" si="0"/>
        <v>5630</v>
      </c>
      <c r="V37" s="49">
        <f t="shared" si="0"/>
        <v>11215</v>
      </c>
      <c r="W37" s="49">
        <f t="shared" si="0"/>
        <v>7120</v>
      </c>
      <c r="X37" s="49">
        <f t="shared" si="0"/>
        <v>34480</v>
      </c>
      <c r="Y37" s="49">
        <f t="shared" si="0"/>
        <v>83317</v>
      </c>
      <c r="Z37" s="49">
        <f t="shared" si="0"/>
        <v>88248</v>
      </c>
      <c r="AA37" s="49"/>
    </row>
    <row r="38" spans="1:27" s="167" customFormat="1">
      <c r="A38" s="177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s="167" customFormat="1">
      <c r="A39" s="177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C555-7804-5148-B91C-17C534C2E82E}">
  <dimension ref="A1:AA38"/>
  <sheetViews>
    <sheetView topLeftCell="E1" workbookViewId="0">
      <selection activeCell="Y12" sqref="Y12"/>
    </sheetView>
  </sheetViews>
  <sheetFormatPr baseColWidth="10" defaultRowHeight="16"/>
  <cols>
    <col min="1" max="1" width="46.6640625" bestFit="1" customWidth="1"/>
  </cols>
  <sheetData>
    <row r="1" spans="1:27" s="167" customFormat="1" ht="11.25" customHeight="1">
      <c r="A1" s="165" t="s">
        <v>291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49"/>
    </row>
    <row r="2" spans="1:27" s="167" customForma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s="167" customFormat="1">
      <c r="A3" s="49"/>
      <c r="B3" s="168" t="s">
        <v>266</v>
      </c>
      <c r="C3" s="168" t="s">
        <v>126</v>
      </c>
      <c r="D3" s="168" t="s">
        <v>130</v>
      </c>
      <c r="E3" s="168" t="s">
        <v>134</v>
      </c>
      <c r="F3" s="168" t="s">
        <v>138</v>
      </c>
      <c r="G3" s="168" t="s">
        <v>142</v>
      </c>
      <c r="H3" s="168" t="s">
        <v>146</v>
      </c>
      <c r="I3" s="168" t="s">
        <v>150</v>
      </c>
      <c r="J3" s="168" t="s">
        <v>154</v>
      </c>
      <c r="K3" s="168" t="s">
        <v>158</v>
      </c>
      <c r="L3" s="168" t="s">
        <v>162</v>
      </c>
      <c r="M3" s="168" t="s">
        <v>166</v>
      </c>
      <c r="N3" s="168" t="s">
        <v>170</v>
      </c>
      <c r="O3" s="168" t="s">
        <v>174</v>
      </c>
      <c r="P3" s="168" t="s">
        <v>178</v>
      </c>
      <c r="Q3" s="168" t="s">
        <v>182</v>
      </c>
      <c r="R3" s="168" t="s">
        <v>186</v>
      </c>
      <c r="S3" s="168" t="s">
        <v>190</v>
      </c>
      <c r="T3" s="168" t="s">
        <v>194</v>
      </c>
      <c r="U3" s="168" t="s">
        <v>198</v>
      </c>
      <c r="V3" s="168" t="s">
        <v>202</v>
      </c>
      <c r="W3" s="168" t="s">
        <v>206</v>
      </c>
      <c r="X3" s="168" t="s">
        <v>210</v>
      </c>
      <c r="Y3" s="168" t="s">
        <v>214</v>
      </c>
      <c r="Z3" s="168" t="s">
        <v>267</v>
      </c>
      <c r="AA3" s="49"/>
    </row>
    <row r="4" spans="1:27" s="167" customFormat="1">
      <c r="A4" s="49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49"/>
    </row>
    <row r="5" spans="1:27" s="167" customFormat="1">
      <c r="A5" s="169" t="s">
        <v>283</v>
      </c>
      <c r="B5" s="169">
        <v>176.92400000000001</v>
      </c>
      <c r="C5" s="169">
        <v>90.799000000000007</v>
      </c>
      <c r="D5" s="169">
        <v>74.418999999999997</v>
      </c>
      <c r="E5" s="169">
        <v>88.614999999999995</v>
      </c>
      <c r="F5" s="169">
        <v>301.17599999999999</v>
      </c>
      <c r="G5" s="169">
        <v>448.834</v>
      </c>
      <c r="H5" s="169">
        <v>797.64499999999998</v>
      </c>
      <c r="I5" s="169">
        <v>-30.041</v>
      </c>
      <c r="J5" s="169">
        <v>-67.986999999999995</v>
      </c>
      <c r="K5" s="169">
        <v>253.14599999999999</v>
      </c>
      <c r="L5" s="169">
        <v>581.09</v>
      </c>
      <c r="M5" s="169">
        <v>562.53599999999994</v>
      </c>
      <c r="N5" s="169">
        <v>440</v>
      </c>
      <c r="O5" s="169">
        <v>631</v>
      </c>
      <c r="P5" s="169">
        <v>614</v>
      </c>
      <c r="Q5" s="169">
        <v>1666</v>
      </c>
      <c r="R5" s="169">
        <v>3047</v>
      </c>
      <c r="S5" s="169">
        <v>4141</v>
      </c>
      <c r="T5" s="169">
        <v>2796</v>
      </c>
      <c r="U5" s="169">
        <v>4332</v>
      </c>
      <c r="V5" s="169">
        <v>9752</v>
      </c>
      <c r="W5" s="169">
        <v>4368</v>
      </c>
      <c r="X5" s="169">
        <v>29760</v>
      </c>
      <c r="Y5" s="169">
        <v>72880</v>
      </c>
      <c r="Z5" s="169">
        <v>76774</v>
      </c>
      <c r="AA5" s="49"/>
    </row>
    <row r="6" spans="1:27" s="167" customFormat="1">
      <c r="A6" s="49"/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49"/>
    </row>
    <row r="7" spans="1:27" s="167" customFormat="1">
      <c r="A7" s="49" t="s">
        <v>292</v>
      </c>
      <c r="B7" s="49">
        <v>43.497</v>
      </c>
      <c r="C7" s="49">
        <v>58.216000000000001</v>
      </c>
      <c r="D7" s="49">
        <v>82.688000000000002</v>
      </c>
      <c r="E7" s="49">
        <v>102.59699999999999</v>
      </c>
      <c r="F7" s="49">
        <v>97.977000000000004</v>
      </c>
      <c r="G7" s="49">
        <v>107.562</v>
      </c>
      <c r="H7" s="49">
        <v>133.19200000000001</v>
      </c>
      <c r="I7" s="49">
        <v>185.023</v>
      </c>
      <c r="J7" s="49">
        <v>196.66399999999999</v>
      </c>
      <c r="K7" s="49">
        <v>187</v>
      </c>
      <c r="L7" s="49">
        <v>204.2</v>
      </c>
      <c r="M7" s="49">
        <v>226</v>
      </c>
      <c r="N7" s="49">
        <v>237</v>
      </c>
      <c r="O7" s="49">
        <v>220</v>
      </c>
      <c r="P7" s="49">
        <v>197</v>
      </c>
      <c r="Q7" s="49">
        <v>186</v>
      </c>
      <c r="R7" s="49">
        <v>199</v>
      </c>
      <c r="S7" s="49">
        <v>262</v>
      </c>
      <c r="T7" s="49">
        <v>380</v>
      </c>
      <c r="U7" s="49">
        <v>1098</v>
      </c>
      <c r="V7" s="49">
        <v>1174</v>
      </c>
      <c r="W7" s="49">
        <v>1543</v>
      </c>
      <c r="X7" s="49">
        <v>1508</v>
      </c>
      <c r="Y7" s="49">
        <v>1864</v>
      </c>
      <c r="Z7" s="49">
        <v>2065</v>
      </c>
      <c r="AA7" s="49"/>
    </row>
    <row r="8" spans="1:27" s="167" customFormat="1">
      <c r="A8" s="49" t="s">
        <v>293</v>
      </c>
      <c r="B8" s="49">
        <v>-43.805999999999997</v>
      </c>
      <c r="C8" s="49">
        <v>-9.07</v>
      </c>
      <c r="D8" s="49">
        <v>-41.356000000000002</v>
      </c>
      <c r="E8" s="49">
        <v>-110.312</v>
      </c>
      <c r="F8" s="49">
        <v>-21.414999999999999</v>
      </c>
      <c r="G8" s="49">
        <v>-175.261</v>
      </c>
      <c r="H8" s="49">
        <v>-146.05500000000001</v>
      </c>
      <c r="I8" s="49">
        <v>348.87299999999999</v>
      </c>
      <c r="J8" s="49">
        <v>-56.741</v>
      </c>
      <c r="K8" s="49">
        <v>26.341000000000001</v>
      </c>
      <c r="L8" s="49">
        <v>26.236000000000001</v>
      </c>
      <c r="M8" s="49">
        <v>-118.94</v>
      </c>
      <c r="N8" s="49">
        <v>29</v>
      </c>
      <c r="O8" s="49">
        <v>-49</v>
      </c>
      <c r="P8" s="49">
        <v>-32</v>
      </c>
      <c r="Q8" s="49">
        <v>-321</v>
      </c>
      <c r="R8" s="49">
        <v>-440</v>
      </c>
      <c r="S8" s="49">
        <v>-149</v>
      </c>
      <c r="T8" s="49">
        <v>-233</v>
      </c>
      <c r="U8" s="49">
        <v>-550</v>
      </c>
      <c r="V8" s="49">
        <v>-2215</v>
      </c>
      <c r="W8" s="49">
        <v>822</v>
      </c>
      <c r="X8" s="49">
        <v>-6172</v>
      </c>
      <c r="Y8" s="49">
        <v>-13063</v>
      </c>
      <c r="Z8" s="49">
        <v>-9764</v>
      </c>
      <c r="AA8" s="49"/>
    </row>
    <row r="9" spans="1:27" s="167" customFormat="1">
      <c r="A9" s="49" t="s">
        <v>294</v>
      </c>
      <c r="B9" s="49">
        <v>-123.497</v>
      </c>
      <c r="C9" s="49">
        <v>68.831000000000003</v>
      </c>
      <c r="D9" s="49">
        <v>-85.126000000000005</v>
      </c>
      <c r="E9" s="49">
        <v>-80.906000000000006</v>
      </c>
      <c r="F9" s="49">
        <v>60.915999999999997</v>
      </c>
      <c r="G9" s="49">
        <v>-91.394999999999996</v>
      </c>
      <c r="H9" s="49">
        <v>-3.69</v>
      </c>
      <c r="I9" s="49">
        <v>-177.29499999999999</v>
      </c>
      <c r="J9" s="49">
        <v>204.65600000000001</v>
      </c>
      <c r="K9" s="49">
        <v>-14.128</v>
      </c>
      <c r="L9" s="49">
        <v>18.884</v>
      </c>
      <c r="M9" s="49">
        <v>-78.948999999999998</v>
      </c>
      <c r="N9" s="49">
        <v>25</v>
      </c>
      <c r="O9" s="49">
        <v>-95</v>
      </c>
      <c r="P9" s="49">
        <v>66</v>
      </c>
      <c r="Q9" s="49">
        <v>-375</v>
      </c>
      <c r="R9" s="49"/>
      <c r="S9" s="49">
        <v>-776</v>
      </c>
      <c r="T9" s="49">
        <v>597</v>
      </c>
      <c r="U9" s="49">
        <v>-524</v>
      </c>
      <c r="V9" s="49">
        <v>-774</v>
      </c>
      <c r="W9" s="49">
        <v>-2554</v>
      </c>
      <c r="X9" s="49">
        <v>-98</v>
      </c>
      <c r="Y9" s="49">
        <v>-4781</v>
      </c>
      <c r="Z9" s="49">
        <v>-5462</v>
      </c>
      <c r="AA9" s="49"/>
    </row>
    <row r="10" spans="1:27" s="167" customFormat="1">
      <c r="A10" s="49" t="s">
        <v>295</v>
      </c>
      <c r="B10" s="49">
        <v>-37.738999999999997</v>
      </c>
      <c r="C10" s="49">
        <v>33.701000000000001</v>
      </c>
      <c r="D10" s="49">
        <v>-2.698</v>
      </c>
      <c r="E10" s="49">
        <v>-5.569</v>
      </c>
      <c r="F10" s="49">
        <v>-4.5679999999999996</v>
      </c>
      <c r="G10" s="49">
        <v>-5.2939999999999996</v>
      </c>
      <c r="H10" s="49">
        <v>-6.2930000000000001</v>
      </c>
      <c r="I10" s="49">
        <v>21.527999999999999</v>
      </c>
      <c r="J10" s="49">
        <v>5.4370000000000003</v>
      </c>
      <c r="K10" s="49">
        <v>12.859</v>
      </c>
      <c r="L10" s="49">
        <v>-85.497</v>
      </c>
      <c r="M10" s="49">
        <v>-11.723000000000001</v>
      </c>
      <c r="N10" s="49">
        <v>12</v>
      </c>
      <c r="O10" s="49">
        <v>4</v>
      </c>
      <c r="P10" s="49">
        <v>-16</v>
      </c>
      <c r="Q10" s="49">
        <v>-18</v>
      </c>
      <c r="R10" s="49">
        <v>21</v>
      </c>
      <c r="S10" s="49">
        <v>-55</v>
      </c>
      <c r="T10" s="49">
        <v>77</v>
      </c>
      <c r="U10" s="49">
        <v>-394</v>
      </c>
      <c r="V10" s="49">
        <v>-1715</v>
      </c>
      <c r="W10" s="49">
        <v>-1517</v>
      </c>
      <c r="X10" s="49">
        <v>-1522</v>
      </c>
      <c r="Y10" s="49">
        <v>-395</v>
      </c>
      <c r="Z10" s="49">
        <v>891</v>
      </c>
      <c r="AA10" s="49"/>
    </row>
    <row r="11" spans="1:27" s="167" customFormat="1">
      <c r="A11" s="49" t="s">
        <v>296</v>
      </c>
      <c r="B11" s="171">
        <v>106.599</v>
      </c>
      <c r="C11" s="171">
        <v>-58.06</v>
      </c>
      <c r="D11" s="171">
        <v>-51.588000000000001</v>
      </c>
      <c r="E11" s="171">
        <v>100.608</v>
      </c>
      <c r="F11" s="171">
        <v>-18.143999999999998</v>
      </c>
      <c r="G11" s="171">
        <v>139.08000000000001</v>
      </c>
      <c r="H11" s="171">
        <v>325.98700000000002</v>
      </c>
      <c r="I11" s="171">
        <v>-226.43899999999999</v>
      </c>
      <c r="J11" s="171">
        <v>-16.937000000000001</v>
      </c>
      <c r="K11" s="171">
        <v>126.627</v>
      </c>
      <c r="L11" s="171">
        <v>42.526000000000003</v>
      </c>
      <c r="M11" s="171">
        <v>97.29</v>
      </c>
      <c r="N11" s="171">
        <v>-53</v>
      </c>
      <c r="O11" s="171">
        <v>-63</v>
      </c>
      <c r="P11" s="171">
        <v>-69</v>
      </c>
      <c r="Q11" s="171">
        <v>35</v>
      </c>
      <c r="R11" s="171">
        <v>604</v>
      </c>
      <c r="S11" s="171">
        <v>123</v>
      </c>
      <c r="T11" s="171">
        <v>276</v>
      </c>
      <c r="U11" s="171">
        <v>765</v>
      </c>
      <c r="V11" s="171">
        <v>1341</v>
      </c>
      <c r="W11" s="171">
        <v>1042</v>
      </c>
      <c r="X11" s="171">
        <v>4070</v>
      </c>
      <c r="Y11" s="171">
        <v>8856</v>
      </c>
      <c r="Z11" s="171">
        <v>12772</v>
      </c>
      <c r="AA11" s="49"/>
    </row>
    <row r="12" spans="1:27" s="167" customFormat="1">
      <c r="A12" s="49" t="s">
        <v>297</v>
      </c>
      <c r="B12" s="49">
        <v>-98.442999999999998</v>
      </c>
      <c r="C12" s="49">
        <v>35.402000000000001</v>
      </c>
      <c r="D12" s="49">
        <v>-180.768</v>
      </c>
      <c r="E12" s="49">
        <v>-96.179000000000002</v>
      </c>
      <c r="F12" s="49">
        <v>16.789000000000001</v>
      </c>
      <c r="G12" s="49">
        <v>-132.87</v>
      </c>
      <c r="H12" s="49">
        <v>169.94900000000001</v>
      </c>
      <c r="I12" s="49">
        <v>-33.332999999999998</v>
      </c>
      <c r="J12" s="49">
        <v>136.41499999999999</v>
      </c>
      <c r="K12" s="49">
        <v>151.69900000000001</v>
      </c>
      <c r="L12" s="49">
        <v>2.149</v>
      </c>
      <c r="M12" s="49">
        <v>-112.322</v>
      </c>
      <c r="N12" s="49">
        <v>13</v>
      </c>
      <c r="O12" s="49">
        <v>-203</v>
      </c>
      <c r="P12" s="49">
        <v>-51</v>
      </c>
      <c r="Q12" s="49">
        <v>-679</v>
      </c>
      <c r="R12" s="49">
        <v>185</v>
      </c>
      <c r="S12" s="49">
        <v>-857</v>
      </c>
      <c r="T12" s="49">
        <v>717</v>
      </c>
      <c r="U12" s="49">
        <v>-703</v>
      </c>
      <c r="V12" s="49">
        <v>-3363</v>
      </c>
      <c r="W12" s="49">
        <v>-2207</v>
      </c>
      <c r="X12" s="49">
        <v>-3722</v>
      </c>
      <c r="Y12" s="49">
        <v>-9383</v>
      </c>
      <c r="Z12" s="49">
        <v>-1563</v>
      </c>
      <c r="AA12" s="49"/>
    </row>
    <row r="13" spans="1:27" s="167" customFormat="1">
      <c r="A13" s="49" t="s">
        <v>298</v>
      </c>
      <c r="B13" s="49">
        <v>-51.914000000000001</v>
      </c>
      <c r="C13" s="49">
        <v>29.768000000000001</v>
      </c>
      <c r="D13" s="49">
        <v>55.134999999999998</v>
      </c>
      <c r="E13" s="49">
        <v>8.6940000000000008</v>
      </c>
      <c r="F13" s="49">
        <v>-2.6909999999999998</v>
      </c>
      <c r="G13" s="49">
        <v>41.765999999999998</v>
      </c>
      <c r="H13" s="49">
        <v>89.516000000000005</v>
      </c>
      <c r="I13" s="49">
        <v>-23.277000000000001</v>
      </c>
      <c r="J13" s="49">
        <v>-21.146999999999998</v>
      </c>
      <c r="K13" s="49">
        <v>-2.6459999999999999</v>
      </c>
      <c r="L13" s="49">
        <v>19.056000000000001</v>
      </c>
      <c r="M13" s="49">
        <v>31.86</v>
      </c>
      <c r="N13" s="49">
        <v>15</v>
      </c>
      <c r="O13" s="49">
        <v>83</v>
      </c>
      <c r="P13" s="49">
        <v>134</v>
      </c>
      <c r="Q13" s="49">
        <v>197</v>
      </c>
      <c r="R13" s="49">
        <v>-359</v>
      </c>
      <c r="S13" s="49">
        <v>-315</v>
      </c>
      <c r="T13" s="49">
        <v>18</v>
      </c>
      <c r="U13" s="49">
        <v>-282</v>
      </c>
      <c r="V13" s="49">
        <v>-406</v>
      </c>
      <c r="W13" s="49">
        <v>-2164</v>
      </c>
      <c r="X13" s="49">
        <v>-2489</v>
      </c>
      <c r="Y13" s="49">
        <v>-4477</v>
      </c>
      <c r="Z13" s="49">
        <v>-5077</v>
      </c>
      <c r="AA13" s="49"/>
    </row>
    <row r="14" spans="1:27" s="167" customFormat="1">
      <c r="A14" s="49" t="s">
        <v>299</v>
      </c>
      <c r="B14" s="49"/>
      <c r="C14" s="49"/>
      <c r="D14" s="49"/>
      <c r="E14" s="49"/>
      <c r="F14" s="49"/>
      <c r="G14" s="49"/>
      <c r="H14" s="49"/>
      <c r="I14" s="49">
        <v>162.70599999999999</v>
      </c>
      <c r="J14" s="49">
        <v>242.82599999999999</v>
      </c>
      <c r="K14" s="49">
        <v>100.35299999999999</v>
      </c>
      <c r="L14" s="49">
        <v>136.35400000000001</v>
      </c>
      <c r="M14" s="49">
        <v>136.66200000000001</v>
      </c>
      <c r="N14" s="49">
        <v>136</v>
      </c>
      <c r="O14" s="49">
        <v>158</v>
      </c>
      <c r="P14" s="49">
        <v>204</v>
      </c>
      <c r="Q14" s="49">
        <v>247</v>
      </c>
      <c r="R14" s="49">
        <v>391</v>
      </c>
      <c r="S14" s="49">
        <v>557</v>
      </c>
      <c r="T14" s="49">
        <v>844</v>
      </c>
      <c r="U14" s="49">
        <v>1397</v>
      </c>
      <c r="V14" s="49">
        <v>2004</v>
      </c>
      <c r="W14" s="49">
        <v>2709</v>
      </c>
      <c r="X14" s="49">
        <v>3549</v>
      </c>
      <c r="Y14" s="49">
        <v>4737</v>
      </c>
      <c r="Z14" s="49">
        <v>5200</v>
      </c>
      <c r="AA14" s="49"/>
    </row>
    <row r="15" spans="1:27" s="167" customFormat="1">
      <c r="A15" s="49" t="s">
        <v>300</v>
      </c>
      <c r="B15" s="171">
        <v>90.742000000000004</v>
      </c>
      <c r="C15" s="171">
        <v>50.847000000000001</v>
      </c>
      <c r="D15" s="171">
        <v>18.204000000000001</v>
      </c>
      <c r="E15" s="171">
        <v>28.472999999999999</v>
      </c>
      <c r="F15" s="171">
        <v>33.156999999999996</v>
      </c>
      <c r="G15" s="171">
        <v>121.819</v>
      </c>
      <c r="H15" s="171">
        <v>79.894000000000005</v>
      </c>
      <c r="I15" s="171">
        <v>-11.718</v>
      </c>
      <c r="J15" s="171">
        <v>1.0360000000001</v>
      </c>
      <c r="K15" s="171">
        <v>-13.755000000000001</v>
      </c>
      <c r="L15" s="171">
        <v>-33.692999999999998</v>
      </c>
      <c r="M15" s="171">
        <v>-20.564</v>
      </c>
      <c r="N15" s="171">
        <v>-6</v>
      </c>
      <c r="O15" s="171">
        <v>17</v>
      </c>
      <c r="P15" s="171">
        <v>77</v>
      </c>
      <c r="Q15" s="171">
        <v>55</v>
      </c>
      <c r="R15" s="171">
        <v>39</v>
      </c>
      <c r="S15" s="171">
        <v>-45</v>
      </c>
      <c r="T15" s="171">
        <v>6</v>
      </c>
      <c r="U15" s="171">
        <v>-20</v>
      </c>
      <c r="V15" s="171">
        <v>-53</v>
      </c>
      <c r="W15" s="171">
        <v>1392</v>
      </c>
      <c r="X15" s="171">
        <v>-516</v>
      </c>
      <c r="Y15" s="171">
        <v>-1532</v>
      </c>
      <c r="Z15" s="171">
        <v>-1241</v>
      </c>
      <c r="AA15" s="49"/>
    </row>
    <row r="16" spans="1:27" s="167" customFormat="1">
      <c r="A16" s="169" t="s">
        <v>301</v>
      </c>
      <c r="B16" s="169">
        <v>160.80600000000001</v>
      </c>
      <c r="C16" s="169">
        <v>265.03199999999998</v>
      </c>
      <c r="D16" s="169">
        <v>49.677999999999997</v>
      </c>
      <c r="E16" s="169">
        <v>132.19999999999999</v>
      </c>
      <c r="F16" s="169">
        <v>446.40800000000002</v>
      </c>
      <c r="G16" s="169">
        <v>587.11099999999999</v>
      </c>
      <c r="H16" s="169">
        <v>1270.1959999999999</v>
      </c>
      <c r="I16" s="169">
        <v>249.36</v>
      </c>
      <c r="J16" s="169">
        <v>487.80700000000002</v>
      </c>
      <c r="K16" s="169">
        <v>675.79700000000003</v>
      </c>
      <c r="L16" s="169">
        <v>909.15599999999995</v>
      </c>
      <c r="M16" s="169">
        <v>824.17200000000003</v>
      </c>
      <c r="N16" s="169">
        <v>835</v>
      </c>
      <c r="O16" s="169">
        <v>906</v>
      </c>
      <c r="P16" s="169">
        <v>1175</v>
      </c>
      <c r="Q16" s="169">
        <v>1672</v>
      </c>
      <c r="R16" s="169">
        <v>3502</v>
      </c>
      <c r="S16" s="169">
        <v>3743</v>
      </c>
      <c r="T16" s="169">
        <v>4761</v>
      </c>
      <c r="U16" s="169">
        <v>5822</v>
      </c>
      <c r="V16" s="169">
        <v>9108</v>
      </c>
      <c r="W16" s="169">
        <v>5641</v>
      </c>
      <c r="X16" s="169">
        <v>28090</v>
      </c>
      <c r="Y16" s="169">
        <v>64089</v>
      </c>
      <c r="Z16" s="169">
        <v>76158</v>
      </c>
      <c r="AA16" s="49"/>
    </row>
    <row r="17" spans="1:27" s="167" customForma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s="167" customFormat="1">
      <c r="A18" s="49" t="s">
        <v>302</v>
      </c>
      <c r="B18" s="49">
        <v>-161.07499999999999</v>
      </c>
      <c r="C18" s="49">
        <v>-63.122999999999998</v>
      </c>
      <c r="D18" s="49">
        <v>-127.604</v>
      </c>
      <c r="E18" s="49">
        <v>-67.260999999999996</v>
      </c>
      <c r="F18" s="49">
        <v>-79.599999999999994</v>
      </c>
      <c r="G18" s="49">
        <v>-145.256</v>
      </c>
      <c r="H18" s="49">
        <v>-187.745</v>
      </c>
      <c r="I18" s="49">
        <v>-407.67</v>
      </c>
      <c r="J18" s="49">
        <v>-77.600999999999999</v>
      </c>
      <c r="K18" s="49">
        <v>-97.89</v>
      </c>
      <c r="L18" s="49">
        <v>-138.73500000000001</v>
      </c>
      <c r="M18" s="49">
        <v>-183.309</v>
      </c>
      <c r="N18" s="49">
        <v>-230</v>
      </c>
      <c r="O18" s="49">
        <v>-101</v>
      </c>
      <c r="P18" s="49">
        <v>-79</v>
      </c>
      <c r="Q18" s="49">
        <v>-169</v>
      </c>
      <c r="R18" s="49">
        <v>-591</v>
      </c>
      <c r="S18" s="49">
        <v>-600</v>
      </c>
      <c r="T18" s="49">
        <v>-489</v>
      </c>
      <c r="U18" s="49">
        <v>-1128</v>
      </c>
      <c r="V18" s="49">
        <v>-976</v>
      </c>
      <c r="W18" s="49">
        <v>-1833</v>
      </c>
      <c r="X18" s="49">
        <v>-1069</v>
      </c>
      <c r="Y18" s="49">
        <v>-3236</v>
      </c>
      <c r="Z18" s="49">
        <v>-4094</v>
      </c>
      <c r="AA18" s="49"/>
    </row>
    <row r="19" spans="1:27" s="167" customFormat="1">
      <c r="A19" s="49" t="s">
        <v>303</v>
      </c>
      <c r="B19" s="49"/>
      <c r="C19" s="49"/>
      <c r="D19" s="49"/>
      <c r="E19" s="49"/>
      <c r="F19" s="49"/>
      <c r="G19" s="49"/>
      <c r="H19" s="49"/>
      <c r="I19" s="49">
        <v>-27.948</v>
      </c>
      <c r="J19" s="49"/>
      <c r="K19" s="49"/>
      <c r="L19" s="49">
        <v>-348.88400000000001</v>
      </c>
      <c r="M19" s="49"/>
      <c r="N19" s="49">
        <v>-17</v>
      </c>
      <c r="O19" s="49"/>
      <c r="P19" s="49"/>
      <c r="Q19" s="49"/>
      <c r="R19" s="49"/>
      <c r="S19" s="49"/>
      <c r="T19" s="49">
        <v>-4</v>
      </c>
      <c r="U19" s="49">
        <v>-8524</v>
      </c>
      <c r="V19" s="49">
        <v>-263</v>
      </c>
      <c r="W19" s="49">
        <v>-49</v>
      </c>
      <c r="X19" s="49">
        <v>-83</v>
      </c>
      <c r="Y19" s="49">
        <v>-1007</v>
      </c>
      <c r="Z19" s="49">
        <v>-1351</v>
      </c>
      <c r="AA19" s="49"/>
    </row>
    <row r="20" spans="1:27" s="167" customFormat="1">
      <c r="A20" s="49" t="s">
        <v>304</v>
      </c>
      <c r="B20" s="49">
        <v>-457.59699999999998</v>
      </c>
      <c r="C20" s="49">
        <v>-217.3</v>
      </c>
      <c r="D20" s="49">
        <v>286.94799999999998</v>
      </c>
      <c r="E20" s="49">
        <v>-84.691999999999993</v>
      </c>
      <c r="F20" s="49">
        <v>59.628</v>
      </c>
      <c r="G20" s="49">
        <v>6.2329999999999997</v>
      </c>
      <c r="H20" s="49">
        <v>-498.03100000000001</v>
      </c>
      <c r="I20" s="49">
        <v>226.69300000000001</v>
      </c>
      <c r="J20" s="49">
        <v>-441.51400000000001</v>
      </c>
      <c r="K20" s="49">
        <v>-549.625</v>
      </c>
      <c r="L20" s="49">
        <v>-654.15499999999997</v>
      </c>
      <c r="M20" s="49">
        <v>-561.03499999999997</v>
      </c>
      <c r="N20" s="49">
        <v>-554</v>
      </c>
      <c r="O20" s="49">
        <v>-625</v>
      </c>
      <c r="P20" s="49">
        <v>-345</v>
      </c>
      <c r="Q20" s="49">
        <v>-624</v>
      </c>
      <c r="R20" s="49">
        <v>1869</v>
      </c>
      <c r="S20" s="49">
        <v>-3497</v>
      </c>
      <c r="T20" s="49">
        <v>6638</v>
      </c>
      <c r="U20" s="49">
        <v>-10023</v>
      </c>
      <c r="V20" s="49">
        <v>-8591</v>
      </c>
      <c r="W20" s="49">
        <v>9257</v>
      </c>
      <c r="X20" s="49">
        <v>-9290</v>
      </c>
      <c r="Y20" s="49">
        <v>-16200</v>
      </c>
      <c r="Z20" s="49">
        <v>-14521</v>
      </c>
      <c r="AA20" s="49"/>
    </row>
    <row r="21" spans="1:27" s="167" customFormat="1">
      <c r="A21" s="49" t="s">
        <v>305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s="167" customFormat="1">
      <c r="A22" s="49" t="s">
        <v>306</v>
      </c>
      <c r="B22" s="171">
        <v>17.5</v>
      </c>
      <c r="C22" s="171">
        <v>3.0990000000000002</v>
      </c>
      <c r="D22" s="171">
        <v>-71.302999999999997</v>
      </c>
      <c r="E22" s="171">
        <v>-2.8421709430404001E-14</v>
      </c>
      <c r="F22" s="171">
        <v>-21.815000000000001</v>
      </c>
      <c r="G22" s="171">
        <v>-401.8</v>
      </c>
      <c r="H22" s="171">
        <v>-75.542000000000002</v>
      </c>
      <c r="I22" s="171">
        <v>-0.44199999999998002</v>
      </c>
      <c r="J22" s="171">
        <v>-0.21799999999985001</v>
      </c>
      <c r="K22" s="171">
        <v>-2.1629999999999998</v>
      </c>
      <c r="L22" s="171">
        <v>-1.5900000000001</v>
      </c>
      <c r="M22" s="171">
        <v>0.35200000000009002</v>
      </c>
      <c r="N22" s="171">
        <v>-5</v>
      </c>
      <c r="O22" s="171">
        <v>-1</v>
      </c>
      <c r="P22" s="171">
        <v>24</v>
      </c>
      <c r="Q22" s="171"/>
      <c r="R22" s="171"/>
      <c r="S22" s="171"/>
      <c r="T22" s="171"/>
      <c r="U22" s="171"/>
      <c r="V22" s="171"/>
      <c r="W22" s="171"/>
      <c r="X22" s="171">
        <v>-124</v>
      </c>
      <c r="Y22" s="171">
        <v>22</v>
      </c>
      <c r="Z22" s="171">
        <v>22</v>
      </c>
      <c r="AA22" s="49"/>
    </row>
    <row r="23" spans="1:27" s="167" customFormat="1">
      <c r="A23" s="169" t="s">
        <v>307</v>
      </c>
      <c r="B23" s="169">
        <v>-601.17200000000003</v>
      </c>
      <c r="C23" s="169">
        <v>-277.32400000000001</v>
      </c>
      <c r="D23" s="169">
        <v>88.040999999999997</v>
      </c>
      <c r="E23" s="169">
        <v>-151.953</v>
      </c>
      <c r="F23" s="169">
        <v>-41.786999999999999</v>
      </c>
      <c r="G23" s="169">
        <v>-540.82299999999998</v>
      </c>
      <c r="H23" s="169">
        <v>-761.31799999999998</v>
      </c>
      <c r="I23" s="169">
        <v>-209.36699999999999</v>
      </c>
      <c r="J23" s="169">
        <v>-519.33299999999997</v>
      </c>
      <c r="K23" s="169">
        <v>-649.678</v>
      </c>
      <c r="L23" s="169">
        <v>-1143.364</v>
      </c>
      <c r="M23" s="169">
        <v>-743.99199999999996</v>
      </c>
      <c r="N23" s="169">
        <v>-806</v>
      </c>
      <c r="O23" s="169">
        <v>-727</v>
      </c>
      <c r="P23" s="169">
        <v>-400</v>
      </c>
      <c r="Q23" s="169">
        <v>-793</v>
      </c>
      <c r="R23" s="169">
        <v>1278</v>
      </c>
      <c r="S23" s="169">
        <v>-4097</v>
      </c>
      <c r="T23" s="169">
        <v>6145</v>
      </c>
      <c r="U23" s="169">
        <v>-19675</v>
      </c>
      <c r="V23" s="169">
        <v>-9830</v>
      </c>
      <c r="W23" s="169">
        <v>7375</v>
      </c>
      <c r="X23" s="169">
        <v>-10566</v>
      </c>
      <c r="Y23" s="169">
        <v>-20421</v>
      </c>
      <c r="Z23" s="169">
        <v>-19944</v>
      </c>
      <c r="AA23" s="49"/>
    </row>
    <row r="24" spans="1:27" s="167" customForma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s="167" customFormat="1">
      <c r="A25" s="49" t="s">
        <v>308</v>
      </c>
      <c r="B25" s="49">
        <v>90.375</v>
      </c>
      <c r="C25" s="49">
        <v>25.486999999999998</v>
      </c>
      <c r="D25" s="49">
        <v>37.756999999999998</v>
      </c>
      <c r="E25" s="49">
        <v>17.858000000000001</v>
      </c>
      <c r="F25" s="49">
        <v>-61.012</v>
      </c>
      <c r="G25" s="49">
        <v>-53.817999999999998</v>
      </c>
      <c r="H25" s="49">
        <v>-326.54300000000001</v>
      </c>
      <c r="I25" s="49">
        <v>-350.089</v>
      </c>
      <c r="J25" s="49">
        <v>138.029</v>
      </c>
      <c r="K25" s="49">
        <v>177.27600000000001</v>
      </c>
      <c r="L25" s="49"/>
      <c r="M25" s="49">
        <v>-100</v>
      </c>
      <c r="N25" s="49">
        <v>-887</v>
      </c>
      <c r="O25" s="49">
        <v>-814</v>
      </c>
      <c r="P25" s="49">
        <v>-587</v>
      </c>
      <c r="Q25" s="49">
        <v>-739</v>
      </c>
      <c r="R25" s="49">
        <v>-909</v>
      </c>
      <c r="S25" s="49">
        <v>-1579</v>
      </c>
      <c r="T25" s="49"/>
      <c r="U25" s="49"/>
      <c r="V25" s="49"/>
      <c r="W25" s="49">
        <v>-10039</v>
      </c>
      <c r="X25" s="49">
        <v>-9533</v>
      </c>
      <c r="Y25" s="49">
        <v>-33706</v>
      </c>
      <c r="Z25" s="49">
        <v>-40061</v>
      </c>
      <c r="AA25" s="49"/>
    </row>
    <row r="26" spans="1:27" s="167" customFormat="1">
      <c r="A26" s="49" t="s">
        <v>309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s="167" customFormat="1">
      <c r="A27" s="49" t="s">
        <v>310</v>
      </c>
      <c r="B27" s="49">
        <v>-2.4550000000000001</v>
      </c>
      <c r="C27" s="49">
        <v>-4.9349999999999996</v>
      </c>
      <c r="D27" s="49">
        <v>-8.048</v>
      </c>
      <c r="E27" s="49">
        <v>-4.0149999999999997</v>
      </c>
      <c r="F27" s="49">
        <v>-0.85599999999999998</v>
      </c>
      <c r="G27" s="49"/>
      <c r="H27" s="49"/>
      <c r="I27" s="49"/>
      <c r="J27" s="49">
        <v>-0.92900000000000005</v>
      </c>
      <c r="K27" s="49">
        <v>-0.57099999999999995</v>
      </c>
      <c r="L27" s="49">
        <v>-1.6080000000000001</v>
      </c>
      <c r="M27" s="49">
        <v>-2.0489999999999999</v>
      </c>
      <c r="N27" s="49">
        <v>1476</v>
      </c>
      <c r="O27" s="49"/>
      <c r="P27" s="49"/>
      <c r="Q27" s="49">
        <v>1315</v>
      </c>
      <c r="R27" s="49">
        <v>-812</v>
      </c>
      <c r="S27" s="49">
        <v>-16</v>
      </c>
      <c r="T27" s="49"/>
      <c r="U27" s="49">
        <v>4968</v>
      </c>
      <c r="V27" s="49">
        <v>3977</v>
      </c>
      <c r="W27" s="49"/>
      <c r="X27" s="49">
        <v>-1250</v>
      </c>
      <c r="Y27" s="49">
        <v>-1250</v>
      </c>
      <c r="Z27" s="49"/>
      <c r="AA27" s="49"/>
    </row>
    <row r="28" spans="1:27" s="167" customFormat="1">
      <c r="A28" s="49" t="s">
        <v>311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>
        <v>-46.866</v>
      </c>
      <c r="N28" s="49">
        <v>-181</v>
      </c>
      <c r="O28" s="49">
        <v>-186</v>
      </c>
      <c r="P28" s="49">
        <v>-213</v>
      </c>
      <c r="Q28" s="49">
        <v>-261</v>
      </c>
      <c r="R28" s="49">
        <v>-341</v>
      </c>
      <c r="S28" s="49">
        <v>-371</v>
      </c>
      <c r="T28" s="49">
        <v>-390</v>
      </c>
      <c r="U28" s="49">
        <v>-395</v>
      </c>
      <c r="V28" s="49">
        <v>-399</v>
      </c>
      <c r="W28" s="49">
        <v>-398</v>
      </c>
      <c r="X28" s="49">
        <v>-395</v>
      </c>
      <c r="Y28" s="49">
        <v>-834</v>
      </c>
      <c r="Z28" s="49">
        <v>-980</v>
      </c>
      <c r="AA28" s="49"/>
    </row>
    <row r="29" spans="1:27" s="167" customFormat="1">
      <c r="A29" s="49" t="s">
        <v>312</v>
      </c>
      <c r="B29" s="171">
        <v>11.170999999999999</v>
      </c>
      <c r="C29" s="171">
        <v>5.734</v>
      </c>
      <c r="D29" s="171">
        <v>-300</v>
      </c>
      <c r="E29" s="171">
        <v>-3.5527136788005001E-15</v>
      </c>
      <c r="F29" s="171">
        <v>0.49099999999999</v>
      </c>
      <c r="G29" s="171">
        <v>0.18800000000000999</v>
      </c>
      <c r="H29" s="171">
        <v>0.21999999999997</v>
      </c>
      <c r="I29" s="171">
        <v>0.81500000000004991</v>
      </c>
      <c r="J29" s="171">
        <v>-76.040999999999997</v>
      </c>
      <c r="K29" s="171">
        <v>15.316000000000001</v>
      </c>
      <c r="L29" s="171">
        <v>238.33099999999999</v>
      </c>
      <c r="M29" s="171">
        <v>133.64500000000001</v>
      </c>
      <c r="N29" s="171">
        <v>-18</v>
      </c>
      <c r="O29" s="171">
        <v>166</v>
      </c>
      <c r="P29" s="171">
        <v>124</v>
      </c>
      <c r="Q29" s="171">
        <v>-24</v>
      </c>
      <c r="R29" s="171">
        <v>-482</v>
      </c>
      <c r="S29" s="171">
        <v>-900</v>
      </c>
      <c r="T29" s="171">
        <v>-402</v>
      </c>
      <c r="U29" s="171">
        <v>-769</v>
      </c>
      <c r="V29" s="171">
        <v>-1713</v>
      </c>
      <c r="W29" s="171">
        <v>-1180</v>
      </c>
      <c r="X29" s="171">
        <v>-2455</v>
      </c>
      <c r="Y29" s="171">
        <v>-6569</v>
      </c>
      <c r="Z29" s="171">
        <v>-7526</v>
      </c>
      <c r="AA29" s="49"/>
    </row>
    <row r="30" spans="1:27" s="167" customFormat="1">
      <c r="A30" s="169" t="s">
        <v>313</v>
      </c>
      <c r="B30" s="169">
        <v>99.090999999999994</v>
      </c>
      <c r="C30" s="169">
        <v>26.286000000000001</v>
      </c>
      <c r="D30" s="169">
        <v>-270.291</v>
      </c>
      <c r="E30" s="169">
        <v>13.843</v>
      </c>
      <c r="F30" s="169">
        <v>-61.377000000000002</v>
      </c>
      <c r="G30" s="169">
        <v>-53.63</v>
      </c>
      <c r="H30" s="169">
        <v>-326.32299999999998</v>
      </c>
      <c r="I30" s="169">
        <v>-349.274</v>
      </c>
      <c r="J30" s="169">
        <v>61.058999999999997</v>
      </c>
      <c r="K30" s="169">
        <v>192.02099999999999</v>
      </c>
      <c r="L30" s="169">
        <v>236.72300000000001</v>
      </c>
      <c r="M30" s="169">
        <v>-15.27</v>
      </c>
      <c r="N30" s="169">
        <v>390</v>
      </c>
      <c r="O30" s="169">
        <v>-834</v>
      </c>
      <c r="P30" s="169">
        <v>-676</v>
      </c>
      <c r="Q30" s="169">
        <v>291</v>
      </c>
      <c r="R30" s="169">
        <v>-2544</v>
      </c>
      <c r="S30" s="169">
        <v>-2866</v>
      </c>
      <c r="T30" s="169">
        <v>-792</v>
      </c>
      <c r="U30" s="169">
        <v>3804</v>
      </c>
      <c r="V30" s="169">
        <v>1865</v>
      </c>
      <c r="W30" s="169">
        <v>-11617</v>
      </c>
      <c r="X30" s="169">
        <v>-13633</v>
      </c>
      <c r="Y30" s="169">
        <v>-42359</v>
      </c>
      <c r="Z30" s="169">
        <v>-48567</v>
      </c>
      <c r="AA30" s="49"/>
    </row>
    <row r="31" spans="1:27" s="167" customForma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s="167" customFormat="1">
      <c r="A32" s="169" t="s">
        <v>314</v>
      </c>
      <c r="B32" s="49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49"/>
    </row>
    <row r="33" spans="1:27" s="167" customFormat="1">
      <c r="A33" s="49" t="s">
        <v>315</v>
      </c>
      <c r="B33" s="173">
        <f t="shared" ref="B33:Z33" si="0">B16</f>
        <v>160.80600000000001</v>
      </c>
      <c r="C33" s="173">
        <f t="shared" si="0"/>
        <v>265.03199999999998</v>
      </c>
      <c r="D33" s="173">
        <f t="shared" si="0"/>
        <v>49.677999999999997</v>
      </c>
      <c r="E33" s="173">
        <f t="shared" si="0"/>
        <v>132.19999999999999</v>
      </c>
      <c r="F33" s="173">
        <f t="shared" si="0"/>
        <v>446.40800000000002</v>
      </c>
      <c r="G33" s="173">
        <f t="shared" si="0"/>
        <v>587.11099999999999</v>
      </c>
      <c r="H33" s="173">
        <f t="shared" si="0"/>
        <v>1270.1959999999999</v>
      </c>
      <c r="I33" s="173">
        <f t="shared" si="0"/>
        <v>249.36</v>
      </c>
      <c r="J33" s="173">
        <f t="shared" si="0"/>
        <v>487.80700000000002</v>
      </c>
      <c r="K33" s="173">
        <f t="shared" si="0"/>
        <v>675.79700000000003</v>
      </c>
      <c r="L33" s="173">
        <f t="shared" si="0"/>
        <v>909.15599999999995</v>
      </c>
      <c r="M33" s="173">
        <f t="shared" si="0"/>
        <v>824.17200000000003</v>
      </c>
      <c r="N33" s="173">
        <f t="shared" si="0"/>
        <v>835</v>
      </c>
      <c r="O33" s="173">
        <f t="shared" si="0"/>
        <v>906</v>
      </c>
      <c r="P33" s="173">
        <f t="shared" si="0"/>
        <v>1175</v>
      </c>
      <c r="Q33" s="173">
        <f t="shared" si="0"/>
        <v>1672</v>
      </c>
      <c r="R33" s="173">
        <f t="shared" si="0"/>
        <v>3502</v>
      </c>
      <c r="S33" s="173">
        <f t="shared" si="0"/>
        <v>3743</v>
      </c>
      <c r="T33" s="173">
        <f t="shared" si="0"/>
        <v>4761</v>
      </c>
      <c r="U33" s="173">
        <f t="shared" si="0"/>
        <v>5822</v>
      </c>
      <c r="V33" s="173">
        <f t="shared" si="0"/>
        <v>9108</v>
      </c>
      <c r="W33" s="173">
        <f t="shared" si="0"/>
        <v>5641</v>
      </c>
      <c r="X33" s="173">
        <f t="shared" si="0"/>
        <v>28090</v>
      </c>
      <c r="Y33" s="173">
        <f t="shared" si="0"/>
        <v>64089</v>
      </c>
      <c r="Z33" s="173">
        <f t="shared" si="0"/>
        <v>76158</v>
      </c>
      <c r="AA33" s="49"/>
    </row>
    <row r="34" spans="1:27" s="167" customFormat="1">
      <c r="A34" s="49" t="s">
        <v>316</v>
      </c>
      <c r="B34" s="174">
        <f t="shared" ref="B34:Z34" si="1">B18</f>
        <v>-161.07499999999999</v>
      </c>
      <c r="C34" s="174">
        <f t="shared" si="1"/>
        <v>-63.122999999999998</v>
      </c>
      <c r="D34" s="174">
        <f t="shared" si="1"/>
        <v>-127.604</v>
      </c>
      <c r="E34" s="174">
        <f t="shared" si="1"/>
        <v>-67.260999999999996</v>
      </c>
      <c r="F34" s="174">
        <f t="shared" si="1"/>
        <v>-79.599999999999994</v>
      </c>
      <c r="G34" s="174">
        <f t="shared" si="1"/>
        <v>-145.256</v>
      </c>
      <c r="H34" s="174">
        <f t="shared" si="1"/>
        <v>-187.745</v>
      </c>
      <c r="I34" s="174">
        <f t="shared" si="1"/>
        <v>-407.67</v>
      </c>
      <c r="J34" s="174">
        <f t="shared" si="1"/>
        <v>-77.600999999999999</v>
      </c>
      <c r="K34" s="174">
        <f t="shared" si="1"/>
        <v>-97.89</v>
      </c>
      <c r="L34" s="174">
        <f t="shared" si="1"/>
        <v>-138.73500000000001</v>
      </c>
      <c r="M34" s="174">
        <f t="shared" si="1"/>
        <v>-183.309</v>
      </c>
      <c r="N34" s="174">
        <f t="shared" si="1"/>
        <v>-230</v>
      </c>
      <c r="O34" s="174">
        <f t="shared" si="1"/>
        <v>-101</v>
      </c>
      <c r="P34" s="174">
        <f t="shared" si="1"/>
        <v>-79</v>
      </c>
      <c r="Q34" s="174">
        <f t="shared" si="1"/>
        <v>-169</v>
      </c>
      <c r="R34" s="174">
        <f t="shared" si="1"/>
        <v>-591</v>
      </c>
      <c r="S34" s="174">
        <f t="shared" si="1"/>
        <v>-600</v>
      </c>
      <c r="T34" s="174">
        <f t="shared" si="1"/>
        <v>-489</v>
      </c>
      <c r="U34" s="174">
        <f t="shared" si="1"/>
        <v>-1128</v>
      </c>
      <c r="V34" s="174">
        <f t="shared" si="1"/>
        <v>-976</v>
      </c>
      <c r="W34" s="174">
        <f t="shared" si="1"/>
        <v>-1833</v>
      </c>
      <c r="X34" s="174">
        <f t="shared" si="1"/>
        <v>-1069</v>
      </c>
      <c r="Y34" s="174">
        <f t="shared" si="1"/>
        <v>-3236</v>
      </c>
      <c r="Z34" s="174">
        <f t="shared" si="1"/>
        <v>-4094</v>
      </c>
      <c r="AA34" s="49"/>
    </row>
    <row r="35" spans="1:27" s="167" customFormat="1">
      <c r="A35" s="49" t="s">
        <v>317</v>
      </c>
      <c r="B35" s="49">
        <f t="shared" ref="B35:Z35" si="2">B33+B34</f>
        <v>-0.26899999999997704</v>
      </c>
      <c r="C35" s="49">
        <f t="shared" si="2"/>
        <v>201.90899999999999</v>
      </c>
      <c r="D35" s="49">
        <f t="shared" si="2"/>
        <v>-77.926000000000002</v>
      </c>
      <c r="E35" s="49">
        <f t="shared" si="2"/>
        <v>64.938999999999993</v>
      </c>
      <c r="F35" s="49">
        <f t="shared" si="2"/>
        <v>366.80799999999999</v>
      </c>
      <c r="G35" s="49">
        <f t="shared" si="2"/>
        <v>441.85500000000002</v>
      </c>
      <c r="H35" s="49">
        <f t="shared" si="2"/>
        <v>1082.451</v>
      </c>
      <c r="I35" s="49">
        <f t="shared" si="2"/>
        <v>-158.31</v>
      </c>
      <c r="J35" s="49">
        <f t="shared" si="2"/>
        <v>410.20600000000002</v>
      </c>
      <c r="K35" s="49">
        <f t="shared" si="2"/>
        <v>577.90700000000004</v>
      </c>
      <c r="L35" s="49">
        <f t="shared" si="2"/>
        <v>770.42099999999994</v>
      </c>
      <c r="M35" s="49">
        <f t="shared" si="2"/>
        <v>640.86300000000006</v>
      </c>
      <c r="N35" s="49">
        <f t="shared" si="2"/>
        <v>605</v>
      </c>
      <c r="O35" s="49">
        <f t="shared" si="2"/>
        <v>805</v>
      </c>
      <c r="P35" s="49">
        <f t="shared" si="2"/>
        <v>1096</v>
      </c>
      <c r="Q35" s="49">
        <f t="shared" si="2"/>
        <v>1503</v>
      </c>
      <c r="R35" s="49">
        <f t="shared" si="2"/>
        <v>2911</v>
      </c>
      <c r="S35" s="49">
        <f t="shared" si="2"/>
        <v>3143</v>
      </c>
      <c r="T35" s="49">
        <f t="shared" si="2"/>
        <v>4272</v>
      </c>
      <c r="U35" s="49">
        <f t="shared" si="2"/>
        <v>4694</v>
      </c>
      <c r="V35" s="49">
        <f t="shared" si="2"/>
        <v>8132</v>
      </c>
      <c r="W35" s="49">
        <f t="shared" si="2"/>
        <v>3808</v>
      </c>
      <c r="X35" s="49">
        <f t="shared" si="2"/>
        <v>27021</v>
      </c>
      <c r="Y35" s="49">
        <f t="shared" si="2"/>
        <v>60853</v>
      </c>
      <c r="Z35" s="49">
        <f t="shared" si="2"/>
        <v>72064</v>
      </c>
      <c r="AA35" s="49"/>
    </row>
    <row r="36" spans="1:27" s="167" customForma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s="167" customForma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s="167" customForma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D7F5-7FBB-8A44-86A8-159E125970E5}">
  <dimension ref="A1:CS60"/>
  <sheetViews>
    <sheetView topLeftCell="A18" workbookViewId="0">
      <pane xSplit="1" topLeftCell="CN1" activePane="topRight" state="frozen"/>
      <selection pane="topRight" activeCell="CR16" sqref="CR16"/>
    </sheetView>
  </sheetViews>
  <sheetFormatPr baseColWidth="10" defaultRowHeight="16"/>
  <cols>
    <col min="1" max="1" width="35.83203125" bestFit="1" customWidth="1"/>
    <col min="16" max="16" width="17.1640625" customWidth="1"/>
    <col min="22" max="22" width="12.33203125" customWidth="1"/>
    <col min="27" max="27" width="11.5" customWidth="1"/>
    <col min="37" max="37" width="18.5" customWidth="1"/>
    <col min="69" max="69" width="13.83203125" customWidth="1"/>
    <col min="91" max="91" width="16" customWidth="1"/>
    <col min="96" max="96" width="16.6640625" customWidth="1"/>
  </cols>
  <sheetData>
    <row r="1" spans="1:97" s="167" customFormat="1" ht="11.25" customHeight="1">
      <c r="A1" s="165" t="s">
        <v>122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  <c r="CE1" s="166"/>
      <c r="CF1" s="166"/>
      <c r="CG1" s="166"/>
      <c r="CH1" s="166"/>
      <c r="CI1" s="166"/>
      <c r="CJ1" s="166"/>
      <c r="CK1" s="166"/>
      <c r="CL1" s="166"/>
      <c r="CM1" s="166"/>
      <c r="CN1" s="166"/>
      <c r="CO1" s="166"/>
      <c r="CP1" s="166"/>
      <c r="CQ1" s="166"/>
      <c r="CR1" s="166"/>
      <c r="CS1" s="49"/>
    </row>
    <row r="2" spans="1:97" s="167" customForma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</row>
    <row r="3" spans="1:97" s="167" customFormat="1" ht="11.25" customHeight="1">
      <c r="A3" s="49"/>
      <c r="B3" s="168" t="s">
        <v>123</v>
      </c>
      <c r="C3" s="168" t="s">
        <v>124</v>
      </c>
      <c r="D3" s="168" t="s">
        <v>125</v>
      </c>
      <c r="E3" s="168" t="s">
        <v>126</v>
      </c>
      <c r="F3" s="168" t="s">
        <v>127</v>
      </c>
      <c r="G3" s="168" t="s">
        <v>128</v>
      </c>
      <c r="H3" s="168" t="s">
        <v>129</v>
      </c>
      <c r="I3" s="168" t="s">
        <v>130</v>
      </c>
      <c r="J3" s="168" t="s">
        <v>131</v>
      </c>
      <c r="K3" s="168" t="s">
        <v>132</v>
      </c>
      <c r="L3" s="168" t="s">
        <v>133</v>
      </c>
      <c r="M3" s="168" t="s">
        <v>134</v>
      </c>
      <c r="N3" s="168" t="s">
        <v>135</v>
      </c>
      <c r="O3" s="168" t="s">
        <v>136</v>
      </c>
      <c r="P3" s="168" t="s">
        <v>137</v>
      </c>
      <c r="Q3" s="168" t="s">
        <v>138</v>
      </c>
      <c r="R3" s="168" t="s">
        <v>139</v>
      </c>
      <c r="S3" s="168" t="s">
        <v>140</v>
      </c>
      <c r="T3" s="168" t="s">
        <v>141</v>
      </c>
      <c r="U3" s="168" t="s">
        <v>142</v>
      </c>
      <c r="V3" s="168" t="s">
        <v>143</v>
      </c>
      <c r="W3" s="168" t="s">
        <v>144</v>
      </c>
      <c r="X3" s="168" t="s">
        <v>145</v>
      </c>
      <c r="Y3" s="168" t="s">
        <v>146</v>
      </c>
      <c r="Z3" s="168" t="s">
        <v>147</v>
      </c>
      <c r="AA3" s="168" t="s">
        <v>148</v>
      </c>
      <c r="AB3" s="168" t="s">
        <v>149</v>
      </c>
      <c r="AC3" s="168" t="s">
        <v>150</v>
      </c>
      <c r="AD3" s="168" t="s">
        <v>151</v>
      </c>
      <c r="AE3" s="168" t="s">
        <v>152</v>
      </c>
      <c r="AF3" s="168" t="s">
        <v>153</v>
      </c>
      <c r="AG3" s="168" t="s">
        <v>154</v>
      </c>
      <c r="AH3" s="168" t="s">
        <v>155</v>
      </c>
      <c r="AI3" s="168" t="s">
        <v>156</v>
      </c>
      <c r="AJ3" s="168" t="s">
        <v>157</v>
      </c>
      <c r="AK3" s="168" t="s">
        <v>158</v>
      </c>
      <c r="AL3" s="168" t="s">
        <v>159</v>
      </c>
      <c r="AM3" s="168" t="s">
        <v>160</v>
      </c>
      <c r="AN3" s="168" t="s">
        <v>161</v>
      </c>
      <c r="AO3" s="168" t="s">
        <v>162</v>
      </c>
      <c r="AP3" s="168" t="s">
        <v>163</v>
      </c>
      <c r="AQ3" s="168" t="s">
        <v>164</v>
      </c>
      <c r="AR3" s="168" t="s">
        <v>165</v>
      </c>
      <c r="AS3" s="168" t="s">
        <v>166</v>
      </c>
      <c r="AT3" s="168" t="s">
        <v>167</v>
      </c>
      <c r="AU3" s="168" t="s">
        <v>168</v>
      </c>
      <c r="AV3" s="168" t="s">
        <v>169</v>
      </c>
      <c r="AW3" s="168" t="s">
        <v>170</v>
      </c>
      <c r="AX3" s="168" t="s">
        <v>171</v>
      </c>
      <c r="AY3" s="168" t="s">
        <v>172</v>
      </c>
      <c r="AZ3" s="168" t="s">
        <v>173</v>
      </c>
      <c r="BA3" s="168" t="s">
        <v>174</v>
      </c>
      <c r="BB3" s="168" t="s">
        <v>175</v>
      </c>
      <c r="BC3" s="168" t="s">
        <v>176</v>
      </c>
      <c r="BD3" s="168" t="s">
        <v>177</v>
      </c>
      <c r="BE3" s="168" t="s">
        <v>178</v>
      </c>
      <c r="BF3" s="168" t="s">
        <v>179</v>
      </c>
      <c r="BG3" s="168" t="s">
        <v>180</v>
      </c>
      <c r="BH3" s="168" t="s">
        <v>181</v>
      </c>
      <c r="BI3" s="168" t="s">
        <v>182</v>
      </c>
      <c r="BJ3" s="168" t="s">
        <v>183</v>
      </c>
      <c r="BK3" s="168" t="s">
        <v>184</v>
      </c>
      <c r="BL3" s="168" t="s">
        <v>185</v>
      </c>
      <c r="BM3" s="168" t="s">
        <v>186</v>
      </c>
      <c r="BN3" s="168" t="s">
        <v>187</v>
      </c>
      <c r="BO3" s="168" t="s">
        <v>188</v>
      </c>
      <c r="BP3" s="168" t="s">
        <v>189</v>
      </c>
      <c r="BQ3" s="168" t="s">
        <v>190</v>
      </c>
      <c r="BR3" s="168" t="s">
        <v>191</v>
      </c>
      <c r="BS3" s="168" t="s">
        <v>192</v>
      </c>
      <c r="BT3" s="168" t="s">
        <v>193</v>
      </c>
      <c r="BU3" s="168" t="s">
        <v>194</v>
      </c>
      <c r="BV3" s="168" t="s">
        <v>195</v>
      </c>
      <c r="BW3" s="168" t="s">
        <v>196</v>
      </c>
      <c r="BX3" s="168" t="s">
        <v>197</v>
      </c>
      <c r="BY3" s="168" t="s">
        <v>198</v>
      </c>
      <c r="BZ3" s="168" t="s">
        <v>199</v>
      </c>
      <c r="CA3" s="168" t="s">
        <v>200</v>
      </c>
      <c r="CB3" s="168" t="s">
        <v>201</v>
      </c>
      <c r="CC3" s="168" t="s">
        <v>202</v>
      </c>
      <c r="CD3" s="168" t="s">
        <v>203</v>
      </c>
      <c r="CE3" s="168" t="s">
        <v>204</v>
      </c>
      <c r="CF3" s="168" t="s">
        <v>205</v>
      </c>
      <c r="CG3" s="168" t="s">
        <v>206</v>
      </c>
      <c r="CH3" s="168" t="s">
        <v>207</v>
      </c>
      <c r="CI3" s="168" t="s">
        <v>208</v>
      </c>
      <c r="CJ3" s="168" t="s">
        <v>209</v>
      </c>
      <c r="CK3" s="168" t="s">
        <v>210</v>
      </c>
      <c r="CL3" s="168" t="s">
        <v>211</v>
      </c>
      <c r="CM3" s="168" t="s">
        <v>212</v>
      </c>
      <c r="CN3" s="168" t="s">
        <v>213</v>
      </c>
      <c r="CO3" s="168" t="s">
        <v>214</v>
      </c>
      <c r="CP3" s="168" t="s">
        <v>215</v>
      </c>
      <c r="CQ3" s="168"/>
      <c r="CR3" s="168"/>
      <c r="CS3" s="49"/>
    </row>
    <row r="4" spans="1:97" s="167" customFormat="1">
      <c r="A4" s="169" t="s">
        <v>216</v>
      </c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0"/>
      <c r="CS4" s="49"/>
    </row>
    <row r="5" spans="1:97" s="167" customFormat="1">
      <c r="A5" s="49" t="s">
        <v>217</v>
      </c>
      <c r="B5" s="49">
        <v>307.15100000000001</v>
      </c>
      <c r="C5" s="49">
        <v>246.816</v>
      </c>
      <c r="D5" s="49">
        <v>322.53500000000003</v>
      </c>
      <c r="E5" s="49">
        <v>346.99400000000003</v>
      </c>
      <c r="F5" s="49">
        <v>278.79599999999999</v>
      </c>
      <c r="G5" s="49">
        <v>274.29700000000003</v>
      </c>
      <c r="H5" s="49">
        <v>231.81299999999999</v>
      </c>
      <c r="I5" s="49">
        <v>214.422</v>
      </c>
      <c r="J5" s="49">
        <v>196.67500000000001</v>
      </c>
      <c r="K5" s="49">
        <v>180.57900000000001</v>
      </c>
      <c r="L5" s="49">
        <v>156.68700000000001</v>
      </c>
      <c r="M5" s="49">
        <v>208.512</v>
      </c>
      <c r="N5" s="49">
        <v>281.00400000000002</v>
      </c>
      <c r="O5" s="49">
        <v>242.17</v>
      </c>
      <c r="P5" s="49">
        <v>364.30799999999999</v>
      </c>
      <c r="Q5" s="49">
        <v>551.75599999999997</v>
      </c>
      <c r="R5" s="49">
        <v>487.76299999999998</v>
      </c>
      <c r="S5" s="49">
        <v>388.423</v>
      </c>
      <c r="T5" s="49">
        <v>741.74599999999998</v>
      </c>
      <c r="U5" s="49">
        <v>544.41399999999999</v>
      </c>
      <c r="V5" s="49">
        <v>678.95100000000002</v>
      </c>
      <c r="W5" s="49">
        <v>914.745</v>
      </c>
      <c r="X5" s="49">
        <v>1056.702</v>
      </c>
      <c r="Y5" s="49">
        <v>726.96900000000005</v>
      </c>
      <c r="Z5" s="49">
        <v>803.30799999999999</v>
      </c>
      <c r="AA5" s="49">
        <v>719.14300000000003</v>
      </c>
      <c r="AB5" s="49">
        <v>461.25299999999999</v>
      </c>
      <c r="AC5" s="49">
        <v>417.68799999999999</v>
      </c>
      <c r="AD5" s="49">
        <v>512.274</v>
      </c>
      <c r="AE5" s="49">
        <v>523.78499999999997</v>
      </c>
      <c r="AF5" s="49">
        <v>614.49</v>
      </c>
      <c r="AG5" s="49">
        <v>447.221</v>
      </c>
      <c r="AH5" s="49">
        <v>447.262</v>
      </c>
      <c r="AI5" s="49">
        <v>377.00299999999999</v>
      </c>
      <c r="AJ5" s="49"/>
      <c r="AK5" s="49">
        <v>665.36099999999999</v>
      </c>
      <c r="AL5" s="49">
        <v>683.63300000000004</v>
      </c>
      <c r="AM5" s="49">
        <v>532.61400000000003</v>
      </c>
      <c r="AN5" s="49">
        <v>566.81600000000003</v>
      </c>
      <c r="AO5" s="49">
        <v>667.87599999999998</v>
      </c>
      <c r="AP5" s="49">
        <v>369.13499999999999</v>
      </c>
      <c r="AQ5" s="49">
        <v>499.61799999999999</v>
      </c>
      <c r="AR5" s="49">
        <v>525.38800000000003</v>
      </c>
      <c r="AS5" s="49">
        <v>732.78599999999994</v>
      </c>
      <c r="AT5" s="49">
        <v>561.423</v>
      </c>
      <c r="AU5" s="49">
        <v>591.32100000000003</v>
      </c>
      <c r="AV5" s="49">
        <v>562.08399999999995</v>
      </c>
      <c r="AW5" s="49">
        <v>1151.587</v>
      </c>
      <c r="AX5" s="49">
        <v>509.16500000000002</v>
      </c>
      <c r="AY5" s="49">
        <v>515.09199999999998</v>
      </c>
      <c r="AZ5" s="49">
        <v>394.68299999999999</v>
      </c>
      <c r="BA5" s="49">
        <v>497</v>
      </c>
      <c r="BB5" s="49">
        <v>464</v>
      </c>
      <c r="BC5" s="49">
        <v>435</v>
      </c>
      <c r="BD5" s="49">
        <v>471</v>
      </c>
      <c r="BE5" s="49">
        <v>596</v>
      </c>
      <c r="BF5" s="49">
        <v>547</v>
      </c>
      <c r="BG5" s="49">
        <v>426</v>
      </c>
      <c r="BH5" s="49">
        <v>1940</v>
      </c>
      <c r="BI5" s="49">
        <v>1766</v>
      </c>
      <c r="BJ5" s="49">
        <v>1989</v>
      </c>
      <c r="BK5" s="49">
        <v>1988</v>
      </c>
      <c r="BL5" s="49">
        <v>2802</v>
      </c>
      <c r="BM5" s="49">
        <v>4002</v>
      </c>
      <c r="BN5" s="49">
        <v>765</v>
      </c>
      <c r="BO5" s="49">
        <v>718</v>
      </c>
      <c r="BP5" s="49">
        <v>721</v>
      </c>
      <c r="BQ5" s="49">
        <v>782</v>
      </c>
      <c r="BR5" s="49">
        <v>2772</v>
      </c>
      <c r="BS5" s="49">
        <v>7105</v>
      </c>
      <c r="BT5" s="49">
        <v>9765</v>
      </c>
      <c r="BU5" s="49">
        <v>10896</v>
      </c>
      <c r="BV5" s="49">
        <v>15494</v>
      </c>
      <c r="BW5" s="49">
        <v>3274</v>
      </c>
      <c r="BX5" s="49">
        <v>2251</v>
      </c>
      <c r="BY5" s="49">
        <v>847</v>
      </c>
      <c r="BZ5" s="49">
        <v>978</v>
      </c>
      <c r="CA5" s="49">
        <v>5628</v>
      </c>
      <c r="CB5" s="49">
        <v>1288</v>
      </c>
      <c r="CC5" s="49">
        <v>1990</v>
      </c>
      <c r="CD5" s="49">
        <v>3887</v>
      </c>
      <c r="CE5" s="49">
        <v>3013</v>
      </c>
      <c r="CF5" s="49">
        <v>2800</v>
      </c>
      <c r="CG5" s="49">
        <v>3389</v>
      </c>
      <c r="CH5" s="49">
        <v>5079</v>
      </c>
      <c r="CI5" s="49">
        <v>5783</v>
      </c>
      <c r="CJ5" s="49">
        <v>5519</v>
      </c>
      <c r="CK5" s="49">
        <v>7280</v>
      </c>
      <c r="CL5" s="49">
        <v>7587</v>
      </c>
      <c r="CM5" s="49">
        <v>8563</v>
      </c>
      <c r="CN5" s="49">
        <v>9107</v>
      </c>
      <c r="CO5" s="49">
        <v>8589</v>
      </c>
      <c r="CP5" s="49">
        <v>15234</v>
      </c>
      <c r="CQ5" s="49"/>
      <c r="CR5" s="49"/>
      <c r="CS5" s="49"/>
    </row>
    <row r="6" spans="1:97" s="167" customFormat="1">
      <c r="A6" s="49" t="s">
        <v>218</v>
      </c>
      <c r="B6" s="49">
        <v>521.24599999999998</v>
      </c>
      <c r="C6" s="49">
        <v>579.59500000000003</v>
      </c>
      <c r="D6" s="49">
        <v>589.04200000000003</v>
      </c>
      <c r="E6" s="49">
        <v>681.41899999999998</v>
      </c>
      <c r="F6" s="49">
        <v>771.54200000000003</v>
      </c>
      <c r="G6" s="49">
        <v>737.29</v>
      </c>
      <c r="H6" s="49">
        <v>380.31299999999999</v>
      </c>
      <c r="I6" s="49">
        <v>389.62099999999998</v>
      </c>
      <c r="J6" s="49">
        <v>460.62799999999999</v>
      </c>
      <c r="K6" s="49">
        <v>432.745</v>
      </c>
      <c r="L6" s="49">
        <v>431.16300000000001</v>
      </c>
      <c r="M6" s="49">
        <v>461.53300000000002</v>
      </c>
      <c r="N6" s="49">
        <v>450.50799999999998</v>
      </c>
      <c r="O6" s="49">
        <v>475.37599999999998</v>
      </c>
      <c r="P6" s="49">
        <v>421.87</v>
      </c>
      <c r="Q6" s="49">
        <v>398.41800000000001</v>
      </c>
      <c r="R6" s="49">
        <v>467.29</v>
      </c>
      <c r="S6" s="49">
        <v>462.74400000000003</v>
      </c>
      <c r="T6" s="49">
        <v>431.84899999999999</v>
      </c>
      <c r="U6" s="49">
        <v>573.43600000000004</v>
      </c>
      <c r="V6" s="49">
        <v>628.07299999999998</v>
      </c>
      <c r="W6" s="49">
        <v>656.81799999999998</v>
      </c>
      <c r="X6" s="49">
        <v>796.25099999999998</v>
      </c>
      <c r="Y6" s="49">
        <v>1082.509</v>
      </c>
      <c r="Z6" s="49">
        <v>818.33100000000002</v>
      </c>
      <c r="AA6" s="49">
        <v>938.08699999999999</v>
      </c>
      <c r="AB6" s="49">
        <v>843.63499999999999</v>
      </c>
      <c r="AC6" s="49">
        <v>837.702</v>
      </c>
      <c r="AD6" s="49">
        <v>825.87300000000005</v>
      </c>
      <c r="AE6" s="49">
        <v>942.32</v>
      </c>
      <c r="AF6" s="49">
        <v>1019.5890000000001</v>
      </c>
      <c r="AG6" s="49">
        <v>1281.0060000000001</v>
      </c>
      <c r="AH6" s="49">
        <v>1317.634</v>
      </c>
      <c r="AI6" s="49">
        <v>1395.4970000000001</v>
      </c>
      <c r="AJ6" s="49"/>
      <c r="AK6" s="49">
        <v>1825.202</v>
      </c>
      <c r="AL6" s="49">
        <v>2042.9079999999999</v>
      </c>
      <c r="AM6" s="49">
        <v>1941.8820000000001</v>
      </c>
      <c r="AN6" s="49">
        <v>2181.538</v>
      </c>
      <c r="AO6" s="49">
        <v>2461.6999999999998</v>
      </c>
      <c r="AP6" s="49">
        <v>2761.6770000000001</v>
      </c>
      <c r="AQ6" s="49">
        <v>2778.482</v>
      </c>
      <c r="AR6" s="49">
        <v>2909.384</v>
      </c>
      <c r="AS6" s="49">
        <v>2995.0970000000002</v>
      </c>
      <c r="AT6" s="49">
        <v>3151.9279999999999</v>
      </c>
      <c r="AU6" s="49">
        <v>2344.5720000000001</v>
      </c>
      <c r="AV6" s="49">
        <v>2470.87</v>
      </c>
      <c r="AW6" s="49">
        <v>3520.223</v>
      </c>
      <c r="AX6" s="49">
        <v>3838.652</v>
      </c>
      <c r="AY6" s="49">
        <v>3870.962</v>
      </c>
      <c r="AZ6" s="49">
        <v>3846.114</v>
      </c>
      <c r="BA6" s="49">
        <v>4126</v>
      </c>
      <c r="BB6" s="49">
        <v>4328</v>
      </c>
      <c r="BC6" s="49">
        <v>4070</v>
      </c>
      <c r="BD6" s="49">
        <v>4257</v>
      </c>
      <c r="BE6" s="49">
        <v>4441</v>
      </c>
      <c r="BF6" s="49">
        <v>4207</v>
      </c>
      <c r="BG6" s="49">
        <v>4453</v>
      </c>
      <c r="BH6" s="49">
        <v>4731</v>
      </c>
      <c r="BI6" s="49">
        <v>5032</v>
      </c>
      <c r="BJ6" s="49">
        <v>4217</v>
      </c>
      <c r="BK6" s="49">
        <v>3889</v>
      </c>
      <c r="BL6" s="49">
        <v>3518</v>
      </c>
      <c r="BM6" s="49">
        <v>3106</v>
      </c>
      <c r="BN6" s="49">
        <v>6535</v>
      </c>
      <c r="BO6" s="49">
        <v>7225</v>
      </c>
      <c r="BP6" s="49">
        <v>6870</v>
      </c>
      <c r="BQ6" s="49">
        <v>6640</v>
      </c>
      <c r="BR6" s="49">
        <v>5030</v>
      </c>
      <c r="BS6" s="49">
        <v>1370</v>
      </c>
      <c r="BT6" s="49">
        <v>4</v>
      </c>
      <c r="BU6" s="49">
        <v>1</v>
      </c>
      <c r="BV6" s="49">
        <v>860</v>
      </c>
      <c r="BW6" s="49">
        <v>7707</v>
      </c>
      <c r="BX6" s="49">
        <v>7888</v>
      </c>
      <c r="BY6" s="49">
        <v>10714</v>
      </c>
      <c r="BZ6" s="49">
        <v>11689</v>
      </c>
      <c r="CA6" s="49">
        <v>14026</v>
      </c>
      <c r="CB6" s="49">
        <v>18010</v>
      </c>
      <c r="CC6" s="49">
        <v>19218</v>
      </c>
      <c r="CD6" s="49">
        <v>16451</v>
      </c>
      <c r="CE6" s="49">
        <v>14023</v>
      </c>
      <c r="CF6" s="49">
        <v>10343</v>
      </c>
      <c r="CG6" s="49">
        <v>9907</v>
      </c>
      <c r="CH6" s="49">
        <v>10241</v>
      </c>
      <c r="CI6" s="49">
        <v>10240</v>
      </c>
      <c r="CJ6" s="49">
        <v>12762</v>
      </c>
      <c r="CK6" s="49">
        <v>18704</v>
      </c>
      <c r="CL6" s="49">
        <v>23851</v>
      </c>
      <c r="CM6" s="49">
        <v>26237</v>
      </c>
      <c r="CN6" s="49">
        <v>29380</v>
      </c>
      <c r="CO6" s="49">
        <v>34621</v>
      </c>
      <c r="CP6" s="49">
        <v>37457</v>
      </c>
      <c r="CQ6" s="49"/>
      <c r="CR6" s="49"/>
      <c r="CS6" s="49"/>
    </row>
    <row r="7" spans="1:97" s="167" customFormat="1">
      <c r="A7" s="49" t="s">
        <v>219</v>
      </c>
      <c r="B7" s="49">
        <v>151.429</v>
      </c>
      <c r="C7" s="49">
        <v>133.03800000000001</v>
      </c>
      <c r="D7" s="49">
        <v>149.86099999999999</v>
      </c>
      <c r="E7" s="49">
        <v>154.501</v>
      </c>
      <c r="F7" s="49">
        <v>155.751</v>
      </c>
      <c r="G7" s="49">
        <v>190.21299999999999</v>
      </c>
      <c r="H7" s="49">
        <v>157.839</v>
      </c>
      <c r="I7" s="49">
        <v>196.631</v>
      </c>
      <c r="J7" s="49">
        <v>205.30799999999999</v>
      </c>
      <c r="K7" s="49">
        <v>246.39599999999999</v>
      </c>
      <c r="L7" s="49">
        <v>307.40899999999999</v>
      </c>
      <c r="M7" s="49">
        <v>296.279</v>
      </c>
      <c r="N7" s="49">
        <v>255.25200000000001</v>
      </c>
      <c r="O7" s="49">
        <v>355.39299999999997</v>
      </c>
      <c r="P7" s="49">
        <v>351.73700000000002</v>
      </c>
      <c r="Q7" s="49">
        <v>318.18599999999998</v>
      </c>
      <c r="R7" s="49">
        <v>391.27</v>
      </c>
      <c r="S7" s="49">
        <v>459.63600000000002</v>
      </c>
      <c r="T7" s="49">
        <v>439.25200000000001</v>
      </c>
      <c r="U7" s="49">
        <v>518.67999999999995</v>
      </c>
      <c r="V7" s="49">
        <v>471.51900000000001</v>
      </c>
      <c r="W7" s="49">
        <v>508.435</v>
      </c>
      <c r="X7" s="49">
        <v>552.40700000000004</v>
      </c>
      <c r="Y7" s="49">
        <v>666.49400000000003</v>
      </c>
      <c r="Z7" s="49">
        <v>651.79999999999995</v>
      </c>
      <c r="AA7" s="49">
        <v>679.41600000000005</v>
      </c>
      <c r="AB7" s="49">
        <v>607.83399999999995</v>
      </c>
      <c r="AC7" s="49">
        <v>318.435</v>
      </c>
      <c r="AD7" s="49">
        <v>304.39299999999997</v>
      </c>
      <c r="AE7" s="49">
        <v>351.96</v>
      </c>
      <c r="AF7" s="49">
        <v>397.82</v>
      </c>
      <c r="AG7" s="49">
        <v>374.96300000000002</v>
      </c>
      <c r="AH7" s="49">
        <v>529.66300000000001</v>
      </c>
      <c r="AI7" s="49">
        <v>395.93400000000003</v>
      </c>
      <c r="AJ7" s="49"/>
      <c r="AK7" s="49">
        <v>348.77</v>
      </c>
      <c r="AL7" s="49">
        <v>343.202</v>
      </c>
      <c r="AM7" s="49">
        <v>419.94400000000002</v>
      </c>
      <c r="AN7" s="49">
        <v>371.26100000000002</v>
      </c>
      <c r="AO7" s="49">
        <v>336.14299999999997</v>
      </c>
      <c r="AP7" s="49">
        <v>411.15499999999997</v>
      </c>
      <c r="AQ7" s="49">
        <v>445.31200000000001</v>
      </c>
      <c r="AR7" s="49">
        <v>444.94400000000002</v>
      </c>
      <c r="AS7" s="49">
        <v>454.25200000000001</v>
      </c>
      <c r="AT7" s="49">
        <v>346.99799999999999</v>
      </c>
      <c r="AU7" s="49">
        <v>418.12299999999999</v>
      </c>
      <c r="AV7" s="49">
        <v>447.63099999999997</v>
      </c>
      <c r="AW7" s="49">
        <v>426.35700000000003</v>
      </c>
      <c r="AX7" s="49">
        <v>396.43799999999999</v>
      </c>
      <c r="AY7" s="49">
        <v>469.625</v>
      </c>
      <c r="AZ7" s="49">
        <v>563.4</v>
      </c>
      <c r="BA7" s="49">
        <v>474</v>
      </c>
      <c r="BB7" s="49">
        <v>455</v>
      </c>
      <c r="BC7" s="49">
        <v>514</v>
      </c>
      <c r="BD7" s="49">
        <v>536</v>
      </c>
      <c r="BE7" s="49">
        <v>505</v>
      </c>
      <c r="BF7" s="49">
        <v>523</v>
      </c>
      <c r="BG7" s="49">
        <v>644</v>
      </c>
      <c r="BH7" s="49">
        <v>833</v>
      </c>
      <c r="BI7" s="49">
        <v>826</v>
      </c>
      <c r="BJ7" s="49">
        <v>976</v>
      </c>
      <c r="BK7" s="49">
        <v>1213</v>
      </c>
      <c r="BL7" s="49">
        <v>1167</v>
      </c>
      <c r="BM7" s="49">
        <v>1265</v>
      </c>
      <c r="BN7" s="49">
        <v>1220</v>
      </c>
      <c r="BO7" s="49">
        <v>1662</v>
      </c>
      <c r="BP7" s="49">
        <v>2219</v>
      </c>
      <c r="BQ7" s="49">
        <v>1424</v>
      </c>
      <c r="BR7" s="49">
        <v>1242</v>
      </c>
      <c r="BS7" s="49">
        <v>1561</v>
      </c>
      <c r="BT7" s="49">
        <v>1455</v>
      </c>
      <c r="BU7" s="49">
        <v>1657</v>
      </c>
      <c r="BV7" s="49">
        <v>1907</v>
      </c>
      <c r="BW7" s="49">
        <v>2084</v>
      </c>
      <c r="BX7" s="49">
        <v>2546</v>
      </c>
      <c r="BY7" s="49">
        <v>2429</v>
      </c>
      <c r="BZ7" s="49">
        <v>3024</v>
      </c>
      <c r="CA7" s="49">
        <v>3586</v>
      </c>
      <c r="CB7" s="49">
        <v>3954</v>
      </c>
      <c r="CC7" s="49">
        <v>4650</v>
      </c>
      <c r="CD7" s="49">
        <v>5438</v>
      </c>
      <c r="CE7" s="49">
        <v>5317</v>
      </c>
      <c r="CF7" s="49">
        <v>4908</v>
      </c>
      <c r="CG7" s="49">
        <v>3827</v>
      </c>
      <c r="CH7" s="49">
        <v>4080</v>
      </c>
      <c r="CI7" s="49">
        <v>7066</v>
      </c>
      <c r="CJ7" s="49">
        <v>8309</v>
      </c>
      <c r="CK7" s="49"/>
      <c r="CL7" s="49">
        <v>12365</v>
      </c>
      <c r="CM7" s="49">
        <v>14132</v>
      </c>
      <c r="CN7" s="49">
        <v>17693</v>
      </c>
      <c r="CO7" s="49">
        <v>23065</v>
      </c>
      <c r="CP7" s="49">
        <v>22132</v>
      </c>
      <c r="CQ7" s="49"/>
      <c r="CR7" s="49"/>
      <c r="CS7" s="49"/>
    </row>
    <row r="8" spans="1:97" s="167" customFormat="1">
      <c r="A8" s="49" t="s">
        <v>220</v>
      </c>
      <c r="B8" s="49">
        <v>253.92699999999999</v>
      </c>
      <c r="C8" s="49">
        <v>285.35000000000002</v>
      </c>
      <c r="D8" s="49">
        <v>205.04300000000001</v>
      </c>
      <c r="E8" s="49">
        <v>145.04599999999999</v>
      </c>
      <c r="F8" s="49">
        <v>165.785</v>
      </c>
      <c r="G8" s="49">
        <v>217.85900000000001</v>
      </c>
      <c r="H8" s="49">
        <v>260.81900000000002</v>
      </c>
      <c r="I8" s="49">
        <v>234.238</v>
      </c>
      <c r="J8" s="49">
        <v>234.79599999999999</v>
      </c>
      <c r="K8" s="49">
        <v>266.98500000000001</v>
      </c>
      <c r="L8" s="49">
        <v>297.55099999999999</v>
      </c>
      <c r="M8" s="49">
        <v>315.51799999999997</v>
      </c>
      <c r="N8" s="49">
        <v>307.75900000000001</v>
      </c>
      <c r="O8" s="49">
        <v>300.95499999999998</v>
      </c>
      <c r="P8" s="49">
        <v>284.84699999999998</v>
      </c>
      <c r="Q8" s="49">
        <v>254.87</v>
      </c>
      <c r="R8" s="49">
        <v>346.36599999999999</v>
      </c>
      <c r="S8" s="49">
        <v>378.661</v>
      </c>
      <c r="T8" s="49">
        <v>373.55799999999999</v>
      </c>
      <c r="U8" s="49">
        <v>354.68</v>
      </c>
      <c r="V8" s="49">
        <v>332.63499999999999</v>
      </c>
      <c r="W8" s="49">
        <v>276.30500000000001</v>
      </c>
      <c r="X8" s="49">
        <v>306.14299999999997</v>
      </c>
      <c r="Y8" s="49">
        <v>358.52100000000002</v>
      </c>
      <c r="Z8" s="49">
        <v>420.12599999999998</v>
      </c>
      <c r="AA8" s="49">
        <v>432.279</v>
      </c>
      <c r="AB8" s="49">
        <v>523.98800000000006</v>
      </c>
      <c r="AC8" s="49">
        <v>537.83399999999995</v>
      </c>
      <c r="AD8" s="49">
        <v>327.25900000000001</v>
      </c>
      <c r="AE8" s="49">
        <v>279.21600000000001</v>
      </c>
      <c r="AF8" s="49">
        <v>277.64299999999997</v>
      </c>
      <c r="AG8" s="49">
        <v>330.67399999999998</v>
      </c>
      <c r="AH8" s="49">
        <v>388.13900000000001</v>
      </c>
      <c r="AI8" s="49">
        <v>434.22699999999998</v>
      </c>
      <c r="AJ8" s="49"/>
      <c r="AK8" s="49">
        <v>345.52499999999998</v>
      </c>
      <c r="AL8" s="49">
        <v>380.964</v>
      </c>
      <c r="AM8" s="49">
        <v>361.911</v>
      </c>
      <c r="AN8" s="49">
        <v>319.60199999999998</v>
      </c>
      <c r="AO8" s="49">
        <v>340.29700000000003</v>
      </c>
      <c r="AP8" s="49">
        <v>342.70699999999999</v>
      </c>
      <c r="AQ8" s="49">
        <v>387.185</v>
      </c>
      <c r="AR8" s="49">
        <v>428.983</v>
      </c>
      <c r="AS8" s="49">
        <v>412.46699999999998</v>
      </c>
      <c r="AT8" s="49">
        <v>377.59699999999998</v>
      </c>
      <c r="AU8" s="49">
        <v>378.28</v>
      </c>
      <c r="AV8" s="49">
        <v>380.31900000000002</v>
      </c>
      <c r="AW8" s="49">
        <v>387.76499999999999</v>
      </c>
      <c r="AX8" s="49">
        <v>393.28</v>
      </c>
      <c r="AY8" s="49">
        <v>387.43400000000003</v>
      </c>
      <c r="AZ8" s="49">
        <v>408.08100000000002</v>
      </c>
      <c r="BA8" s="49">
        <v>483</v>
      </c>
      <c r="BB8" s="49">
        <v>438</v>
      </c>
      <c r="BC8" s="49">
        <v>441</v>
      </c>
      <c r="BD8" s="49">
        <v>425</v>
      </c>
      <c r="BE8" s="49">
        <v>418</v>
      </c>
      <c r="BF8" s="49">
        <v>394</v>
      </c>
      <c r="BG8" s="49">
        <v>521</v>
      </c>
      <c r="BH8" s="49">
        <v>679</v>
      </c>
      <c r="BI8" s="49">
        <v>794</v>
      </c>
      <c r="BJ8" s="49">
        <v>821</v>
      </c>
      <c r="BK8" s="49">
        <v>855</v>
      </c>
      <c r="BL8" s="49">
        <v>857</v>
      </c>
      <c r="BM8" s="49">
        <v>796</v>
      </c>
      <c r="BN8" s="49">
        <v>797</v>
      </c>
      <c r="BO8" s="49">
        <v>1090</v>
      </c>
      <c r="BP8" s="49">
        <v>1417</v>
      </c>
      <c r="BQ8" s="49">
        <v>1575</v>
      </c>
      <c r="BR8" s="49">
        <v>1426</v>
      </c>
      <c r="BS8" s="49">
        <v>1204</v>
      </c>
      <c r="BT8" s="49">
        <v>1047</v>
      </c>
      <c r="BU8" s="49">
        <v>979</v>
      </c>
      <c r="BV8" s="49">
        <v>1128</v>
      </c>
      <c r="BW8" s="49">
        <v>1401</v>
      </c>
      <c r="BX8" s="49">
        <v>1495</v>
      </c>
      <c r="BY8" s="49">
        <v>1826</v>
      </c>
      <c r="BZ8" s="49">
        <v>1992</v>
      </c>
      <c r="CA8" s="49">
        <v>2114</v>
      </c>
      <c r="CB8" s="49">
        <v>2233</v>
      </c>
      <c r="CC8" s="49">
        <v>2605</v>
      </c>
      <c r="CD8" s="49">
        <v>3163</v>
      </c>
      <c r="CE8" s="49">
        <v>3889</v>
      </c>
      <c r="CF8" s="49">
        <v>4454</v>
      </c>
      <c r="CG8" s="49">
        <v>5159</v>
      </c>
      <c r="CH8" s="49">
        <v>4611</v>
      </c>
      <c r="CI8" s="49">
        <v>4319</v>
      </c>
      <c r="CJ8" s="49">
        <v>4779</v>
      </c>
      <c r="CK8" s="49">
        <v>5282</v>
      </c>
      <c r="CL8" s="49">
        <v>5864</v>
      </c>
      <c r="CM8" s="49">
        <v>6675</v>
      </c>
      <c r="CN8" s="49">
        <v>7654</v>
      </c>
      <c r="CO8" s="49">
        <v>10080</v>
      </c>
      <c r="CP8" s="49">
        <v>11333</v>
      </c>
      <c r="CQ8" s="49"/>
      <c r="CR8" s="49"/>
      <c r="CS8" s="49"/>
    </row>
    <row r="9" spans="1:97" s="167" customFormat="1">
      <c r="A9" s="49" t="s">
        <v>221</v>
      </c>
      <c r="B9" s="171">
        <v>85.311000000000007</v>
      </c>
      <c r="C9" s="171">
        <v>79.680999999999997</v>
      </c>
      <c r="D9" s="171">
        <v>79.814999999999998</v>
      </c>
      <c r="E9" s="171">
        <v>23.641999999999999</v>
      </c>
      <c r="F9" s="171">
        <v>28.914999999999999</v>
      </c>
      <c r="G9" s="171">
        <v>26.384</v>
      </c>
      <c r="H9" s="171">
        <v>27.32</v>
      </c>
      <c r="I9" s="171">
        <v>17.8</v>
      </c>
      <c r="J9" s="171">
        <v>19.55</v>
      </c>
      <c r="K9" s="171">
        <v>19.588999999999999</v>
      </c>
      <c r="L9" s="171">
        <v>18.341000000000001</v>
      </c>
      <c r="M9" s="171">
        <v>23.084</v>
      </c>
      <c r="N9" s="171">
        <v>25.134</v>
      </c>
      <c r="O9" s="171">
        <v>28.021000000000001</v>
      </c>
      <c r="P9" s="171">
        <v>27.213999999999999</v>
      </c>
      <c r="Q9" s="171">
        <v>27.068999999999999</v>
      </c>
      <c r="R9" s="171">
        <v>29.937999999999999</v>
      </c>
      <c r="S9" s="171">
        <v>36.825000000000003</v>
      </c>
      <c r="T9" s="171">
        <v>39.482999999999997</v>
      </c>
      <c r="U9" s="171">
        <v>40.56</v>
      </c>
      <c r="V9" s="171">
        <v>43.055</v>
      </c>
      <c r="W9" s="171">
        <v>41.101999999999997</v>
      </c>
      <c r="X9" s="171">
        <v>44.551000000000002</v>
      </c>
      <c r="Y9" s="171">
        <v>54.335999999999999</v>
      </c>
      <c r="Z9" s="171">
        <v>55.427999999999997</v>
      </c>
      <c r="AA9" s="171">
        <v>45.293999999999997</v>
      </c>
      <c r="AB9" s="171">
        <v>43.389000000000003</v>
      </c>
      <c r="AC9" s="171">
        <v>56.298999999999999</v>
      </c>
      <c r="AD9" s="171">
        <v>50.884999999999998</v>
      </c>
      <c r="AE9" s="171">
        <v>70.623999999999995</v>
      </c>
      <c r="AF9" s="171">
        <v>48.173999999999999</v>
      </c>
      <c r="AG9" s="171">
        <v>46.966000000000001</v>
      </c>
      <c r="AH9" s="171">
        <v>44.281999999999996</v>
      </c>
      <c r="AI9" s="171">
        <v>53.301000000000002</v>
      </c>
      <c r="AJ9" s="171"/>
      <c r="AK9" s="171">
        <v>42.091999999999999</v>
      </c>
      <c r="AL9" s="171">
        <v>46.055999999999997</v>
      </c>
      <c r="AM9" s="171">
        <v>61.206000000000003</v>
      </c>
      <c r="AN9" s="171">
        <v>60.853999999999999</v>
      </c>
      <c r="AO9" s="171">
        <v>99.341999999999999</v>
      </c>
      <c r="AP9" s="171">
        <v>147.44200000000001</v>
      </c>
      <c r="AQ9" s="171">
        <v>103.254</v>
      </c>
      <c r="AR9" s="171">
        <v>116.128</v>
      </c>
      <c r="AS9" s="171">
        <v>180.65600000000001</v>
      </c>
      <c r="AT9" s="171">
        <v>168.67</v>
      </c>
      <c r="AU9" s="171">
        <v>190.31200000000001</v>
      </c>
      <c r="AV9" s="171">
        <v>188.93700000000001</v>
      </c>
      <c r="AW9" s="171">
        <v>138.779</v>
      </c>
      <c r="AX9" s="171">
        <v>136.26300000000001</v>
      </c>
      <c r="AY9" s="171">
        <v>134.47300000000001</v>
      </c>
      <c r="AZ9" s="171">
        <v>128.83099999999999</v>
      </c>
      <c r="BA9" s="171">
        <v>133</v>
      </c>
      <c r="BB9" s="171">
        <v>147</v>
      </c>
      <c r="BC9" s="171">
        <v>148</v>
      </c>
      <c r="BD9" s="171">
        <v>145</v>
      </c>
      <c r="BE9" s="171">
        <v>93</v>
      </c>
      <c r="BF9" s="171">
        <v>119</v>
      </c>
      <c r="BG9" s="171">
        <v>112</v>
      </c>
      <c r="BH9" s="171">
        <v>124</v>
      </c>
      <c r="BI9" s="171">
        <v>118</v>
      </c>
      <c r="BJ9" s="171">
        <v>113</v>
      </c>
      <c r="BK9" s="171">
        <v>125</v>
      </c>
      <c r="BL9" s="171">
        <v>135</v>
      </c>
      <c r="BM9" s="171">
        <v>86</v>
      </c>
      <c r="BN9" s="171">
        <v>131</v>
      </c>
      <c r="BO9" s="171">
        <v>136</v>
      </c>
      <c r="BP9" s="171">
        <v>159</v>
      </c>
      <c r="BQ9" s="171">
        <v>136</v>
      </c>
      <c r="BR9" s="171">
        <v>159</v>
      </c>
      <c r="BS9" s="171">
        <v>151</v>
      </c>
      <c r="BT9" s="171">
        <v>149</v>
      </c>
      <c r="BU9" s="171">
        <v>157</v>
      </c>
      <c r="BV9" s="171">
        <v>195</v>
      </c>
      <c r="BW9" s="171">
        <v>215</v>
      </c>
      <c r="BX9" s="171">
        <v>213</v>
      </c>
      <c r="BY9" s="171">
        <v>239</v>
      </c>
      <c r="BZ9" s="171">
        <v>444</v>
      </c>
      <c r="CA9" s="171">
        <v>452</v>
      </c>
      <c r="CB9" s="171">
        <v>321</v>
      </c>
      <c r="CC9" s="171">
        <v>366</v>
      </c>
      <c r="CD9" s="171">
        <v>636</v>
      </c>
      <c r="CE9" s="171">
        <v>1176</v>
      </c>
      <c r="CF9" s="171">
        <v>718</v>
      </c>
      <c r="CG9" s="171">
        <v>791</v>
      </c>
      <c r="CH9" s="171">
        <v>872</v>
      </c>
      <c r="CI9" s="171">
        <v>1389</v>
      </c>
      <c r="CJ9" s="171">
        <v>1289</v>
      </c>
      <c r="CK9" s="171">
        <v>13079</v>
      </c>
      <c r="CL9" s="171">
        <v>4062</v>
      </c>
      <c r="CM9" s="171">
        <v>4026</v>
      </c>
      <c r="CN9" s="171">
        <v>3806</v>
      </c>
      <c r="CO9" s="171">
        <v>3771</v>
      </c>
      <c r="CP9" s="171">
        <v>3779</v>
      </c>
      <c r="CQ9" s="171"/>
      <c r="CR9" s="171"/>
      <c r="CS9" s="49"/>
    </row>
    <row r="10" spans="1:97" s="167" customFormat="1">
      <c r="A10" s="49" t="s">
        <v>222</v>
      </c>
      <c r="B10" s="49">
        <v>1319.0640000000001</v>
      </c>
      <c r="C10" s="49">
        <v>1324.48</v>
      </c>
      <c r="D10" s="49">
        <v>1346.296</v>
      </c>
      <c r="E10" s="49">
        <v>1351.6020000000001</v>
      </c>
      <c r="F10" s="49">
        <v>1400.789</v>
      </c>
      <c r="G10" s="49">
        <v>1446.0429999999999</v>
      </c>
      <c r="H10" s="49">
        <v>1058.104</v>
      </c>
      <c r="I10" s="49">
        <v>1052.712</v>
      </c>
      <c r="J10" s="49">
        <v>1116.9570000000001</v>
      </c>
      <c r="K10" s="49">
        <v>1146.2940000000001</v>
      </c>
      <c r="L10" s="49">
        <v>1211.1510000000001</v>
      </c>
      <c r="M10" s="49">
        <v>1304.9259999999999</v>
      </c>
      <c r="N10" s="49">
        <v>1319.6569999999999</v>
      </c>
      <c r="O10" s="49">
        <v>1401.915</v>
      </c>
      <c r="P10" s="49">
        <v>1449.9760000000001</v>
      </c>
      <c r="Q10" s="49">
        <v>1550.299</v>
      </c>
      <c r="R10" s="49">
        <v>1722.627</v>
      </c>
      <c r="S10" s="49">
        <v>1726.289</v>
      </c>
      <c r="T10" s="49">
        <v>2025.8879999999999</v>
      </c>
      <c r="U10" s="49">
        <v>2031.77</v>
      </c>
      <c r="V10" s="49">
        <v>2154.2330000000002</v>
      </c>
      <c r="W10" s="49">
        <v>2397.4050000000002</v>
      </c>
      <c r="X10" s="49">
        <v>2756.0540000000001</v>
      </c>
      <c r="Y10" s="49">
        <v>2888.8290000000002</v>
      </c>
      <c r="Z10" s="49">
        <v>2748.9929999999999</v>
      </c>
      <c r="AA10" s="49">
        <v>2814.2190000000001</v>
      </c>
      <c r="AB10" s="49">
        <v>2480.0990000000002</v>
      </c>
      <c r="AC10" s="49">
        <v>2167.9580000000001</v>
      </c>
      <c r="AD10" s="49">
        <v>2020.684</v>
      </c>
      <c r="AE10" s="49">
        <v>2167.9050000000002</v>
      </c>
      <c r="AF10" s="49">
        <v>2357.7159999999999</v>
      </c>
      <c r="AG10" s="49">
        <v>2480.83</v>
      </c>
      <c r="AH10" s="49">
        <v>2726.98</v>
      </c>
      <c r="AI10" s="49">
        <v>2655.962</v>
      </c>
      <c r="AJ10" s="49"/>
      <c r="AK10" s="49">
        <v>3226.95</v>
      </c>
      <c r="AL10" s="49">
        <v>3496.7629999999999</v>
      </c>
      <c r="AM10" s="49">
        <v>3317.5569999999998</v>
      </c>
      <c r="AN10" s="49">
        <v>3500.0709999999999</v>
      </c>
      <c r="AO10" s="49">
        <v>3905.3580000000002</v>
      </c>
      <c r="AP10" s="49">
        <v>4032.116</v>
      </c>
      <c r="AQ10" s="49">
        <v>4213.8509999999997</v>
      </c>
      <c r="AR10" s="49">
        <v>4424.8270000000002</v>
      </c>
      <c r="AS10" s="49">
        <v>4775.2579999999998</v>
      </c>
      <c r="AT10" s="49">
        <v>4606.616</v>
      </c>
      <c r="AU10" s="49">
        <v>3922.6080000000002</v>
      </c>
      <c r="AV10" s="49">
        <v>4049.8409999999999</v>
      </c>
      <c r="AW10" s="49">
        <v>5624.7110000000002</v>
      </c>
      <c r="AX10" s="49">
        <v>5273.7979999999998</v>
      </c>
      <c r="AY10" s="49">
        <v>5377.5860000000002</v>
      </c>
      <c r="AZ10" s="49">
        <v>5341.1090000000004</v>
      </c>
      <c r="BA10" s="49">
        <v>5713</v>
      </c>
      <c r="BB10" s="49">
        <v>5832</v>
      </c>
      <c r="BC10" s="49">
        <v>5608</v>
      </c>
      <c r="BD10" s="49">
        <v>5834</v>
      </c>
      <c r="BE10" s="49">
        <v>6053</v>
      </c>
      <c r="BF10" s="49">
        <v>5790</v>
      </c>
      <c r="BG10" s="49">
        <v>6156</v>
      </c>
      <c r="BH10" s="49">
        <v>8307</v>
      </c>
      <c r="BI10" s="49">
        <v>8536</v>
      </c>
      <c r="BJ10" s="49">
        <v>8116</v>
      </c>
      <c r="BK10" s="49">
        <v>8070</v>
      </c>
      <c r="BL10" s="49">
        <v>8479</v>
      </c>
      <c r="BM10" s="49">
        <v>9255</v>
      </c>
      <c r="BN10" s="49">
        <v>9448</v>
      </c>
      <c r="BO10" s="49">
        <v>10831</v>
      </c>
      <c r="BP10" s="49">
        <v>11386</v>
      </c>
      <c r="BQ10" s="49">
        <v>10557</v>
      </c>
      <c r="BR10" s="49">
        <v>10629</v>
      </c>
      <c r="BS10" s="49">
        <v>11391</v>
      </c>
      <c r="BT10" s="49">
        <v>12420</v>
      </c>
      <c r="BU10" s="49">
        <v>13690</v>
      </c>
      <c r="BV10" s="49">
        <v>19584</v>
      </c>
      <c r="BW10" s="49">
        <v>14681</v>
      </c>
      <c r="BX10" s="49">
        <v>14393</v>
      </c>
      <c r="BY10" s="49">
        <v>16055</v>
      </c>
      <c r="BZ10" s="49">
        <v>18127</v>
      </c>
      <c r="CA10" s="49">
        <v>25806</v>
      </c>
      <c r="CB10" s="49">
        <v>25806</v>
      </c>
      <c r="CC10" s="49">
        <v>28829</v>
      </c>
      <c r="CD10" s="49">
        <v>29575</v>
      </c>
      <c r="CE10" s="49">
        <v>27418</v>
      </c>
      <c r="CF10" s="49">
        <v>23223</v>
      </c>
      <c r="CG10" s="49">
        <v>23073</v>
      </c>
      <c r="CH10" s="49">
        <v>24883</v>
      </c>
      <c r="CI10" s="49">
        <v>28797</v>
      </c>
      <c r="CJ10" s="49">
        <v>32658</v>
      </c>
      <c r="CK10" s="49">
        <v>44345</v>
      </c>
      <c r="CL10" s="49">
        <v>53729</v>
      </c>
      <c r="CM10" s="49">
        <v>59633</v>
      </c>
      <c r="CN10" s="49">
        <v>67640</v>
      </c>
      <c r="CO10" s="49">
        <v>80126</v>
      </c>
      <c r="CP10" s="49">
        <v>89935</v>
      </c>
      <c r="CQ10" s="49"/>
      <c r="CR10" s="49"/>
      <c r="CS10" s="49"/>
    </row>
    <row r="11" spans="1:97" s="167" customFormat="1" ht="11.25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</row>
    <row r="12" spans="1:97" s="167" customFormat="1">
      <c r="A12" s="49" t="s">
        <v>223</v>
      </c>
      <c r="B12" s="49">
        <v>181.708</v>
      </c>
      <c r="C12" s="49">
        <v>194.01900000000001</v>
      </c>
      <c r="D12" s="49">
        <v>189.21899999999999</v>
      </c>
      <c r="E12" s="49">
        <v>229.083</v>
      </c>
      <c r="F12" s="49">
        <v>242.83500000000001</v>
      </c>
      <c r="G12" s="49">
        <v>292.87599999999998</v>
      </c>
      <c r="H12" s="49">
        <v>290.161</v>
      </c>
      <c r="I12" s="49">
        <v>337.875</v>
      </c>
      <c r="J12" s="49">
        <v>351.06099999999998</v>
      </c>
      <c r="K12" s="49">
        <v>367.65</v>
      </c>
      <c r="L12" s="49">
        <v>385.721</v>
      </c>
      <c r="M12" s="49">
        <v>395.822</v>
      </c>
      <c r="N12" s="49">
        <v>404.68400000000003</v>
      </c>
      <c r="O12" s="49">
        <v>433.22800000000001</v>
      </c>
      <c r="P12" s="49">
        <v>451.94799999999998</v>
      </c>
      <c r="Q12" s="49">
        <v>460.40100000000001</v>
      </c>
      <c r="R12" s="49">
        <v>462.45499999999998</v>
      </c>
      <c r="S12" s="49">
        <v>459.39299999999997</v>
      </c>
      <c r="T12" s="49">
        <v>502.78899999999999</v>
      </c>
      <c r="U12" s="49">
        <v>569.49800000000005</v>
      </c>
      <c r="V12" s="49">
        <v>579.86</v>
      </c>
      <c r="W12" s="49">
        <v>573.50199999999995</v>
      </c>
      <c r="X12" s="49">
        <v>631.61599999999999</v>
      </c>
      <c r="Y12" s="49">
        <v>753.51800000000003</v>
      </c>
      <c r="Z12" s="49">
        <v>915.76599999999996</v>
      </c>
      <c r="AA12" s="49">
        <v>952.38599999999997</v>
      </c>
      <c r="AB12" s="49">
        <v>964.68499999999995</v>
      </c>
      <c r="AC12" s="49">
        <v>1008.753</v>
      </c>
      <c r="AD12" s="49">
        <v>601.053</v>
      </c>
      <c r="AE12" s="49">
        <v>582.91399999999999</v>
      </c>
      <c r="AF12" s="49">
        <v>565.29600000000005</v>
      </c>
      <c r="AG12" s="49">
        <v>1088.4829999999999</v>
      </c>
      <c r="AH12" s="49">
        <v>548.91600000000005</v>
      </c>
      <c r="AI12" s="49">
        <v>542.21600000000001</v>
      </c>
      <c r="AJ12" s="49"/>
      <c r="AK12" s="49">
        <v>1193.9390000000001</v>
      </c>
      <c r="AL12" s="49">
        <v>553.36599999999999</v>
      </c>
      <c r="AM12" s="49">
        <v>550.89599999999996</v>
      </c>
      <c r="AN12" s="49">
        <v>551.75699999999995</v>
      </c>
      <c r="AO12" s="49">
        <v>1156.528</v>
      </c>
      <c r="AP12" s="49">
        <v>553.54100000000005</v>
      </c>
      <c r="AQ12" s="49">
        <v>574.05600000000004</v>
      </c>
      <c r="AR12" s="49">
        <v>566.54</v>
      </c>
      <c r="AS12" s="49">
        <v>1288.7819999999999</v>
      </c>
      <c r="AT12" s="49">
        <v>588.02300000000002</v>
      </c>
      <c r="AU12" s="49">
        <v>578.94799999999998</v>
      </c>
      <c r="AV12" s="49">
        <v>595.41800000000001</v>
      </c>
      <c r="AW12" s="49">
        <v>1282.82</v>
      </c>
      <c r="AX12" s="49">
        <v>570.80200000000002</v>
      </c>
      <c r="AY12" s="49">
        <v>556.91099999999994</v>
      </c>
      <c r="AZ12" s="49">
        <v>566.601</v>
      </c>
      <c r="BA12" s="49">
        <v>1179</v>
      </c>
      <c r="BB12" s="49">
        <v>547</v>
      </c>
      <c r="BC12" s="49">
        <v>497</v>
      </c>
      <c r="BD12" s="49">
        <v>477</v>
      </c>
      <c r="BE12" s="49">
        <v>1100</v>
      </c>
      <c r="BF12" s="49">
        <v>479</v>
      </c>
      <c r="BG12" s="49">
        <v>485</v>
      </c>
      <c r="BH12" s="49">
        <v>503</v>
      </c>
      <c r="BI12" s="49">
        <v>1191</v>
      </c>
      <c r="BJ12" s="49">
        <v>539</v>
      </c>
      <c r="BK12" s="49">
        <v>578</v>
      </c>
      <c r="BL12" s="49">
        <v>600</v>
      </c>
      <c r="BM12" s="49">
        <v>1737</v>
      </c>
      <c r="BN12" s="49">
        <v>1066</v>
      </c>
      <c r="BO12" s="49">
        <v>1162</v>
      </c>
      <c r="BP12" s="49">
        <v>1292</v>
      </c>
      <c r="BQ12" s="49">
        <v>2171</v>
      </c>
      <c r="BR12" s="49">
        <v>2009</v>
      </c>
      <c r="BS12" s="49">
        <v>2019</v>
      </c>
      <c r="BT12" s="49">
        <v>2044</v>
      </c>
      <c r="BU12" s="49">
        <v>3303</v>
      </c>
      <c r="BV12" s="49">
        <v>2310</v>
      </c>
      <c r="BW12" s="49">
        <v>2665</v>
      </c>
      <c r="BX12" s="49">
        <v>2740</v>
      </c>
      <c r="BY12" s="49">
        <v>4264</v>
      </c>
      <c r="BZ12" s="49">
        <v>2995</v>
      </c>
      <c r="CA12" s="49">
        <v>3165</v>
      </c>
      <c r="CB12" s="49">
        <v>3339</v>
      </c>
      <c r="CC12" s="49">
        <v>5510</v>
      </c>
      <c r="CD12" s="49">
        <v>3772</v>
      </c>
      <c r="CE12" s="49">
        <v>4085</v>
      </c>
      <c r="CF12" s="49">
        <v>4701</v>
      </c>
      <c r="CG12" s="49">
        <v>7539</v>
      </c>
      <c r="CH12" s="49">
        <v>4834</v>
      </c>
      <c r="CI12" s="49">
        <v>5034</v>
      </c>
      <c r="CJ12" s="49">
        <v>5160</v>
      </c>
      <c r="CK12" s="49">
        <v>8769</v>
      </c>
      <c r="CL12" s="49">
        <v>5538</v>
      </c>
      <c r="CM12" s="49">
        <v>6441</v>
      </c>
      <c r="CN12" s="49">
        <v>7098</v>
      </c>
      <c r="CO12" s="49">
        <v>12477</v>
      </c>
      <c r="CP12" s="49">
        <v>8946</v>
      </c>
      <c r="CQ12" s="49"/>
      <c r="CR12" s="49"/>
      <c r="CS12" s="49"/>
    </row>
    <row r="13" spans="1:97" s="167" customFormat="1">
      <c r="A13" s="49" t="s">
        <v>224</v>
      </c>
      <c r="B13" s="171">
        <v>-50.441000000000003</v>
      </c>
      <c r="C13" s="171">
        <v>-50.441000000000003</v>
      </c>
      <c r="D13" s="171">
        <v>-50.441000000000003</v>
      </c>
      <c r="E13" s="171">
        <v>-93.930999999999997</v>
      </c>
      <c r="F13" s="171">
        <v>-93.930999999999997</v>
      </c>
      <c r="G13" s="171">
        <v>-93.930999999999997</v>
      </c>
      <c r="H13" s="171">
        <v>-93.930999999999997</v>
      </c>
      <c r="I13" s="171">
        <v>-147.846</v>
      </c>
      <c r="J13" s="171">
        <v>-166.02</v>
      </c>
      <c r="K13" s="171">
        <v>-184.66200000000001</v>
      </c>
      <c r="L13" s="171">
        <v>-203.523</v>
      </c>
      <c r="M13" s="171">
        <v>-216.86699999999999</v>
      </c>
      <c r="N13" s="171">
        <v>-235.44800000000001</v>
      </c>
      <c r="O13" s="171">
        <v>-254.27699999999999</v>
      </c>
      <c r="P13" s="171">
        <v>-273.44299999999998</v>
      </c>
      <c r="Q13" s="171">
        <v>-282.24900000000002</v>
      </c>
      <c r="R13" s="171">
        <v>-282.24900000000002</v>
      </c>
      <c r="S13" s="171">
        <v>-282.24900000000002</v>
      </c>
      <c r="T13" s="171">
        <v>-282.24900000000002</v>
      </c>
      <c r="U13" s="171">
        <v>-308.67</v>
      </c>
      <c r="V13" s="171">
        <v>-308.67</v>
      </c>
      <c r="W13" s="171">
        <v>-308.67</v>
      </c>
      <c r="X13" s="171">
        <v>-308.67</v>
      </c>
      <c r="Y13" s="171">
        <v>-393.71</v>
      </c>
      <c r="Z13" s="171">
        <v>-393.71</v>
      </c>
      <c r="AA13" s="171">
        <v>-352.90800000000002</v>
      </c>
      <c r="AB13" s="171">
        <v>-355.01100000000002</v>
      </c>
      <c r="AC13" s="171">
        <v>-382.95499999999998</v>
      </c>
      <c r="AD13" s="171"/>
      <c r="AE13" s="171"/>
      <c r="AF13" s="171"/>
      <c r="AG13" s="171">
        <v>-516.625</v>
      </c>
      <c r="AH13" s="171"/>
      <c r="AI13" s="171"/>
      <c r="AJ13" s="171"/>
      <c r="AK13" s="171">
        <v>-625.08199999999999</v>
      </c>
      <c r="AL13" s="171"/>
      <c r="AM13" s="171"/>
      <c r="AN13" s="171"/>
      <c r="AO13" s="171">
        <v>-596.45600000000002</v>
      </c>
      <c r="AP13" s="171"/>
      <c r="AQ13" s="171"/>
      <c r="AR13" s="171"/>
      <c r="AS13" s="171">
        <v>-712.63800000000003</v>
      </c>
      <c r="AT13" s="171"/>
      <c r="AU13" s="171"/>
      <c r="AV13" s="171"/>
      <c r="AW13" s="171">
        <v>-700.08</v>
      </c>
      <c r="AX13" s="171"/>
      <c r="AY13" s="171"/>
      <c r="AZ13" s="171"/>
      <c r="BA13" s="171">
        <v>-622</v>
      </c>
      <c r="BB13" s="171"/>
      <c r="BC13" s="171"/>
      <c r="BD13" s="171"/>
      <c r="BE13" s="171">
        <v>-634</v>
      </c>
      <c r="BF13" s="171"/>
      <c r="BG13" s="171"/>
      <c r="BH13" s="171"/>
      <c r="BI13" s="171">
        <v>-670</v>
      </c>
      <c r="BJ13" s="171"/>
      <c r="BK13" s="171"/>
      <c r="BL13" s="171"/>
      <c r="BM13" s="171">
        <v>-740</v>
      </c>
      <c r="BN13" s="171"/>
      <c r="BO13" s="171"/>
      <c r="BP13" s="171"/>
      <c r="BQ13" s="171">
        <v>-767</v>
      </c>
      <c r="BR13" s="171"/>
      <c r="BS13" s="171"/>
      <c r="BT13" s="171"/>
      <c r="BU13" s="171">
        <v>-1011</v>
      </c>
      <c r="BV13" s="171"/>
      <c r="BW13" s="171"/>
      <c r="BX13" s="171"/>
      <c r="BY13" s="171">
        <v>-1408</v>
      </c>
      <c r="BZ13" s="171"/>
      <c r="CA13" s="171"/>
      <c r="CB13" s="171"/>
      <c r="CC13" s="171">
        <v>-1903</v>
      </c>
      <c r="CD13" s="171"/>
      <c r="CE13" s="171"/>
      <c r="CF13" s="171"/>
      <c r="CG13" s="171">
        <v>-2694</v>
      </c>
      <c r="CH13" s="171"/>
      <c r="CI13" s="171"/>
      <c r="CJ13" s="171"/>
      <c r="CK13" s="171">
        <v>-3509</v>
      </c>
      <c r="CL13" s="171"/>
      <c r="CM13" s="171"/>
      <c r="CN13" s="171"/>
      <c r="CO13" s="171">
        <v>-4401</v>
      </c>
      <c r="CP13" s="171"/>
      <c r="CQ13" s="171"/>
      <c r="CR13" s="171"/>
      <c r="CS13" s="49"/>
    </row>
    <row r="14" spans="1:97" s="167" customFormat="1">
      <c r="A14" s="49" t="s">
        <v>225</v>
      </c>
      <c r="B14" s="49">
        <v>131.267</v>
      </c>
      <c r="C14" s="49">
        <v>143.578</v>
      </c>
      <c r="D14" s="49">
        <v>138.77799999999999</v>
      </c>
      <c r="E14" s="49">
        <v>135.15199999999999</v>
      </c>
      <c r="F14" s="49">
        <v>148.904</v>
      </c>
      <c r="G14" s="49">
        <v>198.94499999999999</v>
      </c>
      <c r="H14" s="49">
        <v>196.23</v>
      </c>
      <c r="I14" s="49">
        <v>190.029</v>
      </c>
      <c r="J14" s="49">
        <v>185.041</v>
      </c>
      <c r="K14" s="49">
        <v>182.988</v>
      </c>
      <c r="L14" s="49">
        <v>182.19800000000001</v>
      </c>
      <c r="M14" s="49">
        <v>178.95500000000001</v>
      </c>
      <c r="N14" s="49">
        <v>169.23599999999999</v>
      </c>
      <c r="O14" s="49">
        <v>178.95099999999999</v>
      </c>
      <c r="P14" s="49">
        <v>178.505</v>
      </c>
      <c r="Q14" s="49">
        <v>178.15199999999999</v>
      </c>
      <c r="R14" s="49">
        <v>180.20599999999999</v>
      </c>
      <c r="S14" s="49">
        <v>177.14400000000001</v>
      </c>
      <c r="T14" s="49">
        <v>220.54</v>
      </c>
      <c r="U14" s="49">
        <v>260.82799999999997</v>
      </c>
      <c r="V14" s="49">
        <v>271.19</v>
      </c>
      <c r="W14" s="49">
        <v>264.83199999999999</v>
      </c>
      <c r="X14" s="49">
        <v>322.94600000000003</v>
      </c>
      <c r="Y14" s="49">
        <v>359.80799999999999</v>
      </c>
      <c r="Z14" s="49">
        <v>522.05600000000004</v>
      </c>
      <c r="AA14" s="49">
        <v>599.47799999999995</v>
      </c>
      <c r="AB14" s="49">
        <v>609.67399999999998</v>
      </c>
      <c r="AC14" s="49">
        <v>625.798</v>
      </c>
      <c r="AD14" s="49">
        <v>601.053</v>
      </c>
      <c r="AE14" s="49">
        <v>582.91399999999999</v>
      </c>
      <c r="AF14" s="49">
        <v>565.29600000000005</v>
      </c>
      <c r="AG14" s="49">
        <v>571.85799999999995</v>
      </c>
      <c r="AH14" s="49">
        <v>548.91600000000005</v>
      </c>
      <c r="AI14" s="49">
        <v>542.21600000000001</v>
      </c>
      <c r="AJ14" s="49"/>
      <c r="AK14" s="49">
        <v>568.85699999999997</v>
      </c>
      <c r="AL14" s="49">
        <v>553.36599999999999</v>
      </c>
      <c r="AM14" s="49">
        <v>550.89599999999996</v>
      </c>
      <c r="AN14" s="49">
        <v>551.75699999999995</v>
      </c>
      <c r="AO14" s="49">
        <v>560.072</v>
      </c>
      <c r="AP14" s="49">
        <v>553.54100000000005</v>
      </c>
      <c r="AQ14" s="49">
        <v>574.05600000000004</v>
      </c>
      <c r="AR14" s="49">
        <v>566.54</v>
      </c>
      <c r="AS14" s="49">
        <v>576.14400000000001</v>
      </c>
      <c r="AT14" s="49">
        <v>588.02300000000002</v>
      </c>
      <c r="AU14" s="49">
        <v>578.94799999999998</v>
      </c>
      <c r="AV14" s="49">
        <v>595.41800000000001</v>
      </c>
      <c r="AW14" s="49">
        <v>582.74</v>
      </c>
      <c r="AX14" s="49">
        <v>570.80200000000002</v>
      </c>
      <c r="AY14" s="49">
        <v>556.91099999999994</v>
      </c>
      <c r="AZ14" s="49">
        <v>566.601</v>
      </c>
      <c r="BA14" s="49">
        <v>557</v>
      </c>
      <c r="BB14" s="49">
        <v>547</v>
      </c>
      <c r="BC14" s="49">
        <v>497</v>
      </c>
      <c r="BD14" s="49">
        <v>477</v>
      </c>
      <c r="BE14" s="49">
        <v>466</v>
      </c>
      <c r="BF14" s="49">
        <v>479</v>
      </c>
      <c r="BG14" s="49">
        <v>485</v>
      </c>
      <c r="BH14" s="49">
        <v>503</v>
      </c>
      <c r="BI14" s="49">
        <v>521</v>
      </c>
      <c r="BJ14" s="49">
        <v>539</v>
      </c>
      <c r="BK14" s="49">
        <v>578</v>
      </c>
      <c r="BL14" s="49">
        <v>600</v>
      </c>
      <c r="BM14" s="49">
        <v>997</v>
      </c>
      <c r="BN14" s="49">
        <v>1066</v>
      </c>
      <c r="BO14" s="49">
        <v>1162</v>
      </c>
      <c r="BP14" s="49">
        <v>1292</v>
      </c>
      <c r="BQ14" s="49">
        <v>1404</v>
      </c>
      <c r="BR14" s="49">
        <v>2009</v>
      </c>
      <c r="BS14" s="49">
        <v>2019</v>
      </c>
      <c r="BT14" s="49">
        <v>2044</v>
      </c>
      <c r="BU14" s="49">
        <v>2292</v>
      </c>
      <c r="BV14" s="49">
        <v>2310</v>
      </c>
      <c r="BW14" s="49">
        <v>2665</v>
      </c>
      <c r="BX14" s="49">
        <v>2740</v>
      </c>
      <c r="BY14" s="49">
        <v>2856</v>
      </c>
      <c r="BZ14" s="49">
        <v>2995</v>
      </c>
      <c r="CA14" s="49">
        <v>3165</v>
      </c>
      <c r="CB14" s="49">
        <v>3339</v>
      </c>
      <c r="CC14" s="49">
        <v>3607</v>
      </c>
      <c r="CD14" s="49">
        <v>3772</v>
      </c>
      <c r="CE14" s="49">
        <v>4085</v>
      </c>
      <c r="CF14" s="49">
        <v>4701</v>
      </c>
      <c r="CG14" s="49">
        <v>4845</v>
      </c>
      <c r="CH14" s="49">
        <v>4834</v>
      </c>
      <c r="CI14" s="49">
        <v>5034</v>
      </c>
      <c r="CJ14" s="49">
        <v>5160</v>
      </c>
      <c r="CK14" s="49">
        <v>5260</v>
      </c>
      <c r="CL14" s="49">
        <v>5538</v>
      </c>
      <c r="CM14" s="49">
        <v>6441</v>
      </c>
      <c r="CN14" s="49">
        <v>7098</v>
      </c>
      <c r="CO14" s="49">
        <v>8076</v>
      </c>
      <c r="CP14" s="49">
        <v>8946</v>
      </c>
      <c r="CQ14" s="49"/>
      <c r="CR14" s="49"/>
      <c r="CS14" s="49"/>
    </row>
    <row r="15" spans="1:97" s="167" customFormat="1">
      <c r="A15" s="49" t="s">
        <v>226</v>
      </c>
      <c r="B15" s="49">
        <v>82.856999999999999</v>
      </c>
      <c r="C15" s="49">
        <v>80.462000000000003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>
        <v>145.31700000000001</v>
      </c>
      <c r="R15" s="49">
        <v>204.60300000000001</v>
      </c>
      <c r="S15" s="49">
        <v>203.65700000000001</v>
      </c>
      <c r="T15" s="49">
        <v>203.679</v>
      </c>
      <c r="U15" s="49">
        <v>301.42500000000001</v>
      </c>
      <c r="V15" s="49">
        <v>291.077</v>
      </c>
      <c r="W15" s="49">
        <v>293.38299999999998</v>
      </c>
      <c r="X15" s="49">
        <v>292.93400000000003</v>
      </c>
      <c r="Y15" s="49">
        <v>354.05700000000002</v>
      </c>
      <c r="Z15" s="49">
        <v>371.01900000000001</v>
      </c>
      <c r="AA15" s="49">
        <v>365.8</v>
      </c>
      <c r="AB15" s="49">
        <v>366.286</v>
      </c>
      <c r="AC15" s="49">
        <v>369.84399999999999</v>
      </c>
      <c r="AD15" s="49">
        <v>369.84399999999999</v>
      </c>
      <c r="AE15" s="49">
        <v>369.84399999999999</v>
      </c>
      <c r="AF15" s="49">
        <v>369.84399999999999</v>
      </c>
      <c r="AG15" s="49">
        <v>369.84399999999999</v>
      </c>
      <c r="AH15" s="49">
        <v>369.84399999999999</v>
      </c>
      <c r="AI15" s="49">
        <v>369.84399999999999</v>
      </c>
      <c r="AJ15" s="49"/>
      <c r="AK15" s="49">
        <v>369.84399999999999</v>
      </c>
      <c r="AL15" s="49">
        <v>369.84399999999999</v>
      </c>
      <c r="AM15" s="49">
        <v>593.51300000000003</v>
      </c>
      <c r="AN15" s="49">
        <v>648.053</v>
      </c>
      <c r="AO15" s="49">
        <v>641.03</v>
      </c>
      <c r="AP15" s="49">
        <v>641.03</v>
      </c>
      <c r="AQ15" s="49">
        <v>641.03</v>
      </c>
      <c r="AR15" s="49">
        <v>641.03</v>
      </c>
      <c r="AS15" s="49">
        <v>641.03</v>
      </c>
      <c r="AT15" s="49">
        <v>641.03</v>
      </c>
      <c r="AU15" s="49">
        <v>641.03</v>
      </c>
      <c r="AV15" s="49">
        <v>643.17899999999997</v>
      </c>
      <c r="AW15" s="49">
        <v>643.17899999999997</v>
      </c>
      <c r="AX15" s="49">
        <v>643.17899999999997</v>
      </c>
      <c r="AY15" s="49">
        <v>643.17899999999997</v>
      </c>
      <c r="AZ15" s="49">
        <v>643.17899999999997</v>
      </c>
      <c r="BA15" s="49">
        <v>618</v>
      </c>
      <c r="BB15" s="49">
        <v>618</v>
      </c>
      <c r="BC15" s="49">
        <v>618</v>
      </c>
      <c r="BD15" s="49">
        <v>618</v>
      </c>
      <c r="BE15" s="49">
        <v>618</v>
      </c>
      <c r="BF15" s="49">
        <v>618</v>
      </c>
      <c r="BG15" s="49">
        <v>618</v>
      </c>
      <c r="BH15" s="49">
        <v>618</v>
      </c>
      <c r="BI15" s="49">
        <v>618</v>
      </c>
      <c r="BJ15" s="49">
        <v>618</v>
      </c>
      <c r="BK15" s="49">
        <v>618</v>
      </c>
      <c r="BL15" s="49">
        <v>618</v>
      </c>
      <c r="BM15" s="49">
        <v>618</v>
      </c>
      <c r="BN15" s="49">
        <v>618</v>
      </c>
      <c r="BO15" s="49">
        <v>618</v>
      </c>
      <c r="BP15" s="49">
        <v>618</v>
      </c>
      <c r="BQ15" s="49">
        <v>618</v>
      </c>
      <c r="BR15" s="49">
        <v>618</v>
      </c>
      <c r="BS15" s="49">
        <v>618</v>
      </c>
      <c r="BT15" s="49">
        <v>618</v>
      </c>
      <c r="BU15" s="49">
        <v>618</v>
      </c>
      <c r="BV15" s="49">
        <v>628</v>
      </c>
      <c r="BW15" s="49">
        <v>4193</v>
      </c>
      <c r="BX15" s="49">
        <v>4193</v>
      </c>
      <c r="BY15" s="49">
        <v>4193</v>
      </c>
      <c r="BZ15" s="49">
        <v>4193</v>
      </c>
      <c r="CA15" s="49">
        <v>4193</v>
      </c>
      <c r="CB15" s="49">
        <v>4302</v>
      </c>
      <c r="CC15" s="49">
        <v>4349</v>
      </c>
      <c r="CD15" s="49">
        <v>4365</v>
      </c>
      <c r="CE15" s="49">
        <v>4372</v>
      </c>
      <c r="CF15" s="49">
        <v>4372</v>
      </c>
      <c r="CG15" s="49">
        <v>4372</v>
      </c>
      <c r="CH15" s="49">
        <v>4430</v>
      </c>
      <c r="CI15" s="49">
        <v>4430</v>
      </c>
      <c r="CJ15" s="49">
        <v>4430</v>
      </c>
      <c r="CK15" s="49">
        <v>4430</v>
      </c>
      <c r="CL15" s="49">
        <v>4453</v>
      </c>
      <c r="CM15" s="49">
        <v>4622</v>
      </c>
      <c r="CN15" s="49">
        <v>4724</v>
      </c>
      <c r="CO15" s="49">
        <v>5188</v>
      </c>
      <c r="CP15" s="49">
        <v>5498</v>
      </c>
      <c r="CQ15" s="49"/>
      <c r="CR15" s="49"/>
      <c r="CS15" s="49"/>
    </row>
    <row r="16" spans="1:97" s="167" customFormat="1">
      <c r="A16" s="49" t="s">
        <v>227</v>
      </c>
      <c r="B16" s="49"/>
      <c r="C16" s="49"/>
      <c r="D16" s="49">
        <v>78.158000000000001</v>
      </c>
      <c r="E16" s="49">
        <v>76.471000000000004</v>
      </c>
      <c r="F16" s="49">
        <v>82.352000000000004</v>
      </c>
      <c r="G16" s="49">
        <v>79.087999999999994</v>
      </c>
      <c r="H16" s="49">
        <v>153.512</v>
      </c>
      <c r="I16" s="49">
        <v>148.87200000000001</v>
      </c>
      <c r="J16" s="49">
        <v>148.93700000000001</v>
      </c>
      <c r="K16" s="49">
        <v>143.33000000000001</v>
      </c>
      <c r="L16" s="49">
        <v>138.17500000000001</v>
      </c>
      <c r="M16" s="49">
        <v>135.62100000000001</v>
      </c>
      <c r="N16" s="49">
        <v>135.523</v>
      </c>
      <c r="O16" s="49">
        <v>131.375</v>
      </c>
      <c r="P16" s="49">
        <v>152.31399999999999</v>
      </c>
      <c r="Q16" s="49">
        <v>15.420999999999999</v>
      </c>
      <c r="R16" s="49">
        <v>22.989000000000001</v>
      </c>
      <c r="S16" s="49">
        <v>29.428000000000001</v>
      </c>
      <c r="T16" s="49">
        <v>26.538</v>
      </c>
      <c r="U16" s="49">
        <v>45.511000000000003</v>
      </c>
      <c r="V16" s="49">
        <v>50.914000000000001</v>
      </c>
      <c r="W16" s="49">
        <v>54.734999999999999</v>
      </c>
      <c r="X16" s="49">
        <v>78.173000000000002</v>
      </c>
      <c r="Y16" s="49">
        <v>106.926</v>
      </c>
      <c r="Z16" s="49">
        <v>125.001</v>
      </c>
      <c r="AA16" s="49">
        <v>145.148</v>
      </c>
      <c r="AB16" s="49">
        <v>155.64599999999999</v>
      </c>
      <c r="AC16" s="49">
        <v>147.101</v>
      </c>
      <c r="AD16" s="49">
        <v>142.446</v>
      </c>
      <c r="AE16" s="49">
        <v>135.678</v>
      </c>
      <c r="AF16" s="49">
        <v>127.81699999999999</v>
      </c>
      <c r="AG16" s="49">
        <v>120.458</v>
      </c>
      <c r="AH16" s="49">
        <v>115.423</v>
      </c>
      <c r="AI16" s="49">
        <v>118.879</v>
      </c>
      <c r="AJ16" s="49"/>
      <c r="AK16" s="49">
        <v>288.745</v>
      </c>
      <c r="AL16" s="49">
        <v>278.76100000000002</v>
      </c>
      <c r="AM16" s="49">
        <v>358.13600000000002</v>
      </c>
      <c r="AN16" s="49">
        <v>342.839</v>
      </c>
      <c r="AO16" s="49">
        <v>326.13600000000002</v>
      </c>
      <c r="AP16" s="49">
        <v>363.39499999999998</v>
      </c>
      <c r="AQ16" s="49">
        <v>346.93799999999999</v>
      </c>
      <c r="AR16" s="49">
        <v>331.24799999999999</v>
      </c>
      <c r="AS16" s="49">
        <v>312.33199999999999</v>
      </c>
      <c r="AT16" s="49">
        <v>336.733</v>
      </c>
      <c r="AU16" s="49">
        <v>322.52</v>
      </c>
      <c r="AV16" s="49">
        <v>320.589</v>
      </c>
      <c r="AW16" s="49">
        <v>296.012</v>
      </c>
      <c r="AX16" s="49">
        <v>277.52999999999997</v>
      </c>
      <c r="AY16" s="49">
        <v>260.613</v>
      </c>
      <c r="AZ16" s="49">
        <v>241.30099999999999</v>
      </c>
      <c r="BA16" s="49">
        <v>222</v>
      </c>
      <c r="BB16" s="49">
        <v>205</v>
      </c>
      <c r="BC16" s="49">
        <v>190</v>
      </c>
      <c r="BD16" s="49">
        <v>172</v>
      </c>
      <c r="BE16" s="49">
        <v>166</v>
      </c>
      <c r="BF16" s="49">
        <v>155</v>
      </c>
      <c r="BG16" s="49">
        <v>138</v>
      </c>
      <c r="BH16" s="49">
        <v>120</v>
      </c>
      <c r="BI16" s="49">
        <v>104</v>
      </c>
      <c r="BJ16" s="49">
        <v>90</v>
      </c>
      <c r="BK16" s="49">
        <v>76</v>
      </c>
      <c r="BL16" s="49">
        <v>63</v>
      </c>
      <c r="BM16" s="49">
        <v>52</v>
      </c>
      <c r="BN16" s="49">
        <v>55</v>
      </c>
      <c r="BO16" s="49">
        <v>51</v>
      </c>
      <c r="BP16" s="49">
        <v>49</v>
      </c>
      <c r="BQ16" s="49">
        <v>45</v>
      </c>
      <c r="BR16" s="49">
        <v>54</v>
      </c>
      <c r="BS16" s="49">
        <v>49</v>
      </c>
      <c r="BT16" s="49">
        <v>43</v>
      </c>
      <c r="BU16" s="49">
        <v>49</v>
      </c>
      <c r="BV16" s="49">
        <v>80</v>
      </c>
      <c r="BW16" s="49">
        <v>2854</v>
      </c>
      <c r="BX16" s="49">
        <v>2861</v>
      </c>
      <c r="BY16" s="49">
        <v>2737</v>
      </c>
      <c r="BZ16" s="49">
        <v>2613</v>
      </c>
      <c r="CA16" s="49">
        <v>2478</v>
      </c>
      <c r="CB16" s="49">
        <v>2454</v>
      </c>
      <c r="CC16" s="49">
        <v>2339</v>
      </c>
      <c r="CD16" s="49">
        <v>2211</v>
      </c>
      <c r="CE16" s="49">
        <v>2036</v>
      </c>
      <c r="CF16" s="49">
        <v>1850</v>
      </c>
      <c r="CG16" s="49">
        <v>1676</v>
      </c>
      <c r="CH16" s="49">
        <v>1541</v>
      </c>
      <c r="CI16" s="49">
        <v>1395</v>
      </c>
      <c r="CJ16" s="49">
        <v>1251</v>
      </c>
      <c r="CK16" s="49">
        <v>1112</v>
      </c>
      <c r="CL16" s="49">
        <v>986</v>
      </c>
      <c r="CM16" s="49">
        <v>952</v>
      </c>
      <c r="CN16" s="49">
        <v>838</v>
      </c>
      <c r="CO16" s="49">
        <v>807</v>
      </c>
      <c r="CP16" s="49">
        <v>769</v>
      </c>
      <c r="CQ16" s="49"/>
      <c r="CR16" s="49"/>
      <c r="CS16" s="49"/>
    </row>
    <row r="17" spans="1:97" s="167" customFormat="1">
      <c r="A17" s="49" t="s">
        <v>228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>
        <v>6.4119999999999999</v>
      </c>
      <c r="AD17" s="49"/>
      <c r="AE17" s="49"/>
      <c r="AF17" s="49"/>
      <c r="AG17" s="49">
        <v>6.63</v>
      </c>
      <c r="AH17" s="49"/>
      <c r="AI17" s="49"/>
      <c r="AJ17" s="49"/>
      <c r="AK17" s="49">
        <v>8.7919999999999998</v>
      </c>
      <c r="AL17" s="49"/>
      <c r="AM17" s="49"/>
      <c r="AN17" s="49"/>
      <c r="AO17" s="49">
        <v>10.382</v>
      </c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>
        <v>77</v>
      </c>
      <c r="BV17" s="49"/>
      <c r="BW17" s="49"/>
      <c r="BX17" s="49">
        <v>106</v>
      </c>
      <c r="BY17" s="49">
        <v>144</v>
      </c>
      <c r="BZ17" s="49">
        <v>146</v>
      </c>
      <c r="CA17" s="49">
        <v>147</v>
      </c>
      <c r="CB17" s="49">
        <v>308</v>
      </c>
      <c r="CC17" s="49">
        <v>266</v>
      </c>
      <c r="CD17" s="49">
        <v>285</v>
      </c>
      <c r="CE17" s="49">
        <v>307</v>
      </c>
      <c r="CF17" s="49">
        <v>314</v>
      </c>
      <c r="CG17" s="49">
        <v>299</v>
      </c>
      <c r="CH17" s="49">
        <v>505</v>
      </c>
      <c r="CI17" s="49">
        <v>800</v>
      </c>
      <c r="CJ17" s="49">
        <v>1172</v>
      </c>
      <c r="CK17" s="49">
        <v>1321</v>
      </c>
      <c r="CL17" s="49">
        <v>1750</v>
      </c>
      <c r="CM17" s="49">
        <v>1819</v>
      </c>
      <c r="CN17" s="49">
        <v>2237</v>
      </c>
      <c r="CO17" s="49">
        <v>3387</v>
      </c>
      <c r="CP17" s="49">
        <v>3240</v>
      </c>
      <c r="CQ17" s="49"/>
      <c r="CR17" s="49"/>
      <c r="CS17" s="49"/>
    </row>
    <row r="18" spans="1:97" s="167" customFormat="1">
      <c r="A18" s="49" t="s">
        <v>229</v>
      </c>
      <c r="B18" s="171">
        <v>66.528999999999996</v>
      </c>
      <c r="C18" s="171">
        <v>66.634</v>
      </c>
      <c r="D18" s="171">
        <v>66.465000000000003</v>
      </c>
      <c r="E18" s="171">
        <v>53.79</v>
      </c>
      <c r="F18" s="171">
        <v>55.488</v>
      </c>
      <c r="G18" s="171">
        <v>56.036999999999999</v>
      </c>
      <c r="H18" s="171">
        <v>50.933999999999997</v>
      </c>
      <c r="I18" s="171">
        <v>7.7309999999999999</v>
      </c>
      <c r="J18" s="171">
        <v>7.2550000000000994</v>
      </c>
      <c r="K18" s="171">
        <v>8.2769999999998003</v>
      </c>
      <c r="L18" s="171">
        <v>8.1319999999997989</v>
      </c>
      <c r="M18" s="171">
        <v>9.0340000000001002</v>
      </c>
      <c r="N18" s="171">
        <v>10.678000000000001</v>
      </c>
      <c r="O18" s="171">
        <v>15.977</v>
      </c>
      <c r="P18" s="171">
        <v>24.713000000000001</v>
      </c>
      <c r="Q18" s="171">
        <v>65.498000000000005</v>
      </c>
      <c r="R18" s="171">
        <v>31.027999999999999</v>
      </c>
      <c r="S18" s="171">
        <v>47.311</v>
      </c>
      <c r="T18" s="171">
        <v>54.508000000000003</v>
      </c>
      <c r="U18" s="171">
        <v>35.728999999999999</v>
      </c>
      <c r="V18" s="171">
        <v>33.453999999998999</v>
      </c>
      <c r="W18" s="171">
        <v>25.911999999999999</v>
      </c>
      <c r="X18" s="171">
        <v>25.155999999999999</v>
      </c>
      <c r="Y18" s="171">
        <v>38.051000000000002</v>
      </c>
      <c r="Z18" s="171">
        <v>40.389000000000003</v>
      </c>
      <c r="AA18" s="171">
        <v>35.404000000000003</v>
      </c>
      <c r="AB18" s="171">
        <v>37.192999999999998</v>
      </c>
      <c r="AC18" s="171">
        <v>33.613999999999997</v>
      </c>
      <c r="AD18" s="171">
        <v>44.677</v>
      </c>
      <c r="AE18" s="171">
        <v>42.067999999999998</v>
      </c>
      <c r="AF18" s="171">
        <v>42.901000000000003</v>
      </c>
      <c r="AG18" s="171">
        <v>36.298000000000002</v>
      </c>
      <c r="AH18" s="171">
        <v>41.866999999999997</v>
      </c>
      <c r="AI18" s="171">
        <v>44.366999999999997</v>
      </c>
      <c r="AJ18" s="171"/>
      <c r="AK18" s="171">
        <v>32.058000000001002</v>
      </c>
      <c r="AL18" s="171">
        <v>38.009999999999003</v>
      </c>
      <c r="AM18" s="171">
        <v>44.322000000000003</v>
      </c>
      <c r="AN18" s="171">
        <v>46.322999999998999</v>
      </c>
      <c r="AO18" s="171">
        <v>109.95</v>
      </c>
      <c r="AP18" s="171">
        <v>118.08499999999999</v>
      </c>
      <c r="AQ18" s="171">
        <v>116.006</v>
      </c>
      <c r="AR18" s="171">
        <v>111.499</v>
      </c>
      <c r="AS18" s="171">
        <v>107.48099999999999</v>
      </c>
      <c r="AT18" s="171">
        <v>107.125</v>
      </c>
      <c r="AU18" s="171">
        <v>104.486</v>
      </c>
      <c r="AV18" s="171">
        <v>102.346</v>
      </c>
      <c r="AW18" s="171">
        <v>104.252</v>
      </c>
      <c r="AX18" s="171">
        <v>99.353999999999999</v>
      </c>
      <c r="AY18" s="171">
        <v>95.429999999998998</v>
      </c>
      <c r="AZ18" s="171">
        <v>93.678999999999007</v>
      </c>
      <c r="BA18" s="171">
        <v>91</v>
      </c>
      <c r="BB18" s="171">
        <v>89</v>
      </c>
      <c r="BC18" s="171">
        <v>66</v>
      </c>
      <c r="BD18" s="171">
        <v>73</v>
      </c>
      <c r="BE18" s="171">
        <v>67</v>
      </c>
      <c r="BF18" s="171">
        <v>66</v>
      </c>
      <c r="BG18" s="171">
        <v>64</v>
      </c>
      <c r="BH18" s="171">
        <v>64</v>
      </c>
      <c r="BI18" s="171">
        <v>62</v>
      </c>
      <c r="BJ18" s="171">
        <v>47</v>
      </c>
      <c r="BK18" s="171">
        <v>60</v>
      </c>
      <c r="BL18" s="171">
        <v>70</v>
      </c>
      <c r="BM18" s="171">
        <v>319</v>
      </c>
      <c r="BN18" s="171">
        <v>273</v>
      </c>
      <c r="BO18" s="171">
        <v>220</v>
      </c>
      <c r="BP18" s="171">
        <v>312</v>
      </c>
      <c r="BQ18" s="171">
        <v>668</v>
      </c>
      <c r="BR18" s="171">
        <v>711</v>
      </c>
      <c r="BS18" s="171">
        <v>698</v>
      </c>
      <c r="BT18" s="171">
        <v>685</v>
      </c>
      <c r="BU18" s="171">
        <v>589</v>
      </c>
      <c r="BV18" s="171">
        <v>652</v>
      </c>
      <c r="BW18" s="171">
        <v>787</v>
      </c>
      <c r="BX18" s="171">
        <v>2588</v>
      </c>
      <c r="BY18" s="171">
        <v>2806</v>
      </c>
      <c r="BZ18" s="171">
        <v>2722</v>
      </c>
      <c r="CA18" s="171">
        <v>2861</v>
      </c>
      <c r="CB18" s="171">
        <v>4423</v>
      </c>
      <c r="CC18" s="171">
        <v>4797</v>
      </c>
      <c r="CD18" s="171">
        <v>5004</v>
      </c>
      <c r="CE18" s="171">
        <v>5258</v>
      </c>
      <c r="CF18" s="171">
        <v>6028</v>
      </c>
      <c r="CG18" s="171">
        <v>6917</v>
      </c>
      <c r="CH18" s="171">
        <v>8267</v>
      </c>
      <c r="CI18" s="171">
        <v>9099</v>
      </c>
      <c r="CJ18" s="171">
        <v>9477</v>
      </c>
      <c r="CK18" s="171">
        <v>9260</v>
      </c>
      <c r="CL18" s="171">
        <v>10616</v>
      </c>
      <c r="CM18" s="171">
        <v>11760</v>
      </c>
      <c r="CN18" s="171">
        <v>13476</v>
      </c>
      <c r="CO18" s="171">
        <v>14017</v>
      </c>
      <c r="CP18" s="171">
        <v>16866</v>
      </c>
      <c r="CQ18" s="171"/>
      <c r="CR18" s="171"/>
      <c r="CS18" s="49"/>
    </row>
    <row r="19" spans="1:97" s="167" customFormat="1" ht="11.25" customHeight="1" thickBot="1">
      <c r="A19" s="169" t="s">
        <v>230</v>
      </c>
      <c r="B19" s="172">
        <v>1599.7170000000001</v>
      </c>
      <c r="C19" s="172">
        <v>1615.154</v>
      </c>
      <c r="D19" s="172">
        <v>1629.6969999999999</v>
      </c>
      <c r="E19" s="172">
        <v>1617.0150000000001</v>
      </c>
      <c r="F19" s="172">
        <v>1687.5329999999999</v>
      </c>
      <c r="G19" s="172">
        <v>1780.1130000000001</v>
      </c>
      <c r="H19" s="172">
        <v>1458.78</v>
      </c>
      <c r="I19" s="172">
        <v>1399.3440000000001</v>
      </c>
      <c r="J19" s="172">
        <v>1458.19</v>
      </c>
      <c r="K19" s="172">
        <v>1480.8889999999999</v>
      </c>
      <c r="L19" s="172">
        <v>1539.6559999999999</v>
      </c>
      <c r="M19" s="172">
        <v>1628.5360000000001</v>
      </c>
      <c r="N19" s="172">
        <v>1635.0940000000001</v>
      </c>
      <c r="O19" s="172">
        <v>1728.2180000000001</v>
      </c>
      <c r="P19" s="172">
        <v>1805.508</v>
      </c>
      <c r="Q19" s="172">
        <v>1954.6869999999999</v>
      </c>
      <c r="R19" s="172">
        <v>2161.453</v>
      </c>
      <c r="S19" s="172">
        <v>2183.8290000000002</v>
      </c>
      <c r="T19" s="172">
        <v>2531.1529999999998</v>
      </c>
      <c r="U19" s="172">
        <v>2675.2629999999999</v>
      </c>
      <c r="V19" s="172">
        <v>2800.8679999999999</v>
      </c>
      <c r="W19" s="172">
        <v>3036.2669999999998</v>
      </c>
      <c r="X19" s="172">
        <v>3475.2629999999999</v>
      </c>
      <c r="Y19" s="172">
        <v>3747.6709999999998</v>
      </c>
      <c r="Z19" s="172">
        <v>3807.4580000000001</v>
      </c>
      <c r="AA19" s="172">
        <v>3960.049</v>
      </c>
      <c r="AB19" s="172">
        <v>3648.8980000000001</v>
      </c>
      <c r="AC19" s="172">
        <v>3350.7269999999999</v>
      </c>
      <c r="AD19" s="172">
        <v>3178.7040000000002</v>
      </c>
      <c r="AE19" s="172">
        <v>3298.4090000000001</v>
      </c>
      <c r="AF19" s="172">
        <v>3463.5740000000001</v>
      </c>
      <c r="AG19" s="172">
        <v>3585.9180000000001</v>
      </c>
      <c r="AH19" s="172">
        <v>3803.03</v>
      </c>
      <c r="AI19" s="172">
        <v>3731.268</v>
      </c>
      <c r="AJ19" s="172"/>
      <c r="AK19" s="172">
        <v>4495.2460000000001</v>
      </c>
      <c r="AL19" s="172">
        <v>4736.7439999999997</v>
      </c>
      <c r="AM19" s="172">
        <v>4864.424</v>
      </c>
      <c r="AN19" s="172">
        <v>5089.0429999999997</v>
      </c>
      <c r="AO19" s="172">
        <v>5552.9279999999999</v>
      </c>
      <c r="AP19" s="172">
        <v>5708.1670000000004</v>
      </c>
      <c r="AQ19" s="172">
        <v>5891.8810000000003</v>
      </c>
      <c r="AR19" s="172">
        <v>6075.1440000000002</v>
      </c>
      <c r="AS19" s="172">
        <v>6412.2449999999999</v>
      </c>
      <c r="AT19" s="172">
        <v>6279.527</v>
      </c>
      <c r="AU19" s="172">
        <v>5569.5919999999996</v>
      </c>
      <c r="AV19" s="172">
        <v>5711.3729999999996</v>
      </c>
      <c r="AW19" s="172">
        <v>7250.8940000000002</v>
      </c>
      <c r="AX19" s="172">
        <v>6864.6629999999996</v>
      </c>
      <c r="AY19" s="172">
        <v>6933.7190000000001</v>
      </c>
      <c r="AZ19" s="172">
        <v>6885.8689999999997</v>
      </c>
      <c r="BA19" s="172">
        <v>7201</v>
      </c>
      <c r="BB19" s="172">
        <v>7291</v>
      </c>
      <c r="BC19" s="172">
        <v>6979</v>
      </c>
      <c r="BD19" s="172">
        <v>7174</v>
      </c>
      <c r="BE19" s="172">
        <v>7370</v>
      </c>
      <c r="BF19" s="172">
        <v>7108</v>
      </c>
      <c r="BG19" s="172">
        <v>7461</v>
      </c>
      <c r="BH19" s="172">
        <v>9612</v>
      </c>
      <c r="BI19" s="172">
        <v>9841</v>
      </c>
      <c r="BJ19" s="172">
        <v>9410</v>
      </c>
      <c r="BK19" s="172">
        <v>9402</v>
      </c>
      <c r="BL19" s="172">
        <v>9830</v>
      </c>
      <c r="BM19" s="172">
        <v>11241</v>
      </c>
      <c r="BN19" s="172">
        <v>11460</v>
      </c>
      <c r="BO19" s="172">
        <v>12882</v>
      </c>
      <c r="BP19" s="172">
        <v>13657</v>
      </c>
      <c r="BQ19" s="172">
        <v>13292</v>
      </c>
      <c r="BR19" s="172">
        <v>14021</v>
      </c>
      <c r="BS19" s="172">
        <v>14775</v>
      </c>
      <c r="BT19" s="172">
        <v>15810</v>
      </c>
      <c r="BU19" s="172">
        <v>17315</v>
      </c>
      <c r="BV19" s="172">
        <v>23254</v>
      </c>
      <c r="BW19" s="172">
        <v>25180</v>
      </c>
      <c r="BX19" s="172">
        <v>26881</v>
      </c>
      <c r="BY19" s="172">
        <v>28791</v>
      </c>
      <c r="BZ19" s="172">
        <v>30796</v>
      </c>
      <c r="CA19" s="172">
        <v>38650</v>
      </c>
      <c r="CB19" s="172">
        <v>40632</v>
      </c>
      <c r="CC19" s="172">
        <v>44187</v>
      </c>
      <c r="CD19" s="172">
        <v>45212</v>
      </c>
      <c r="CE19" s="172">
        <v>43476</v>
      </c>
      <c r="CF19" s="172">
        <v>40488</v>
      </c>
      <c r="CG19" s="172">
        <v>41182</v>
      </c>
      <c r="CH19" s="172">
        <v>44460</v>
      </c>
      <c r="CI19" s="172">
        <v>49555</v>
      </c>
      <c r="CJ19" s="172">
        <v>54148</v>
      </c>
      <c r="CK19" s="172">
        <v>65728</v>
      </c>
      <c r="CL19" s="172">
        <v>77072</v>
      </c>
      <c r="CM19" s="172">
        <v>85227</v>
      </c>
      <c r="CN19" s="172">
        <v>96013</v>
      </c>
      <c r="CO19" s="172">
        <v>111601</v>
      </c>
      <c r="CP19" s="172">
        <v>125254</v>
      </c>
      <c r="CQ19" s="172"/>
      <c r="CR19" s="172"/>
      <c r="CS19" s="49"/>
    </row>
    <row r="20" spans="1:97" s="167" customFormat="1" ht="12" customHeight="1" thickTop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</row>
    <row r="21" spans="1:97" s="167" customFormat="1">
      <c r="A21" s="169" t="s">
        <v>231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</row>
    <row r="22" spans="1:97" s="167" customFormat="1">
      <c r="A22" s="49" t="s">
        <v>232</v>
      </c>
      <c r="B22" s="49">
        <v>190.36</v>
      </c>
      <c r="C22" s="49">
        <v>165.39500000000001</v>
      </c>
      <c r="D22" s="49">
        <v>170.589</v>
      </c>
      <c r="E22" s="49">
        <v>141.12899999999999</v>
      </c>
      <c r="F22" s="49">
        <v>234.43700000000001</v>
      </c>
      <c r="G22" s="49">
        <v>282.39699999999999</v>
      </c>
      <c r="H22" s="49">
        <v>242.309</v>
      </c>
      <c r="I22" s="49">
        <v>185.34200000000001</v>
      </c>
      <c r="J22" s="49">
        <v>214.61799999999999</v>
      </c>
      <c r="K22" s="49">
        <v>223.20099999999999</v>
      </c>
      <c r="L22" s="49">
        <v>262.95999999999998</v>
      </c>
      <c r="M22" s="49">
        <v>238.22300000000001</v>
      </c>
      <c r="N22" s="49">
        <v>182.14599999999999</v>
      </c>
      <c r="O22" s="49">
        <v>221.047</v>
      </c>
      <c r="P22" s="49">
        <v>179.77699999999999</v>
      </c>
      <c r="Q22" s="49">
        <v>179.39500000000001</v>
      </c>
      <c r="R22" s="49">
        <v>298.14699999999999</v>
      </c>
      <c r="S22" s="49">
        <v>230.916</v>
      </c>
      <c r="T22" s="49">
        <v>324.39600000000002</v>
      </c>
      <c r="U22" s="49">
        <v>272.07499999999999</v>
      </c>
      <c r="V22" s="49">
        <v>334.04599999999999</v>
      </c>
      <c r="W22" s="49">
        <v>323.38099999999997</v>
      </c>
      <c r="X22" s="49">
        <v>449.79199999999997</v>
      </c>
      <c r="Y22" s="49">
        <v>492.09899999999999</v>
      </c>
      <c r="Z22" s="49">
        <v>427.85500000000002</v>
      </c>
      <c r="AA22" s="49">
        <v>438.892</v>
      </c>
      <c r="AB22" s="49">
        <v>387.25200000000001</v>
      </c>
      <c r="AC22" s="49">
        <v>218.864</v>
      </c>
      <c r="AD22" s="49">
        <v>226.114</v>
      </c>
      <c r="AE22" s="49">
        <v>275.97800000000001</v>
      </c>
      <c r="AF22" s="49">
        <v>321.52999999999997</v>
      </c>
      <c r="AG22" s="49">
        <v>344.52699999999999</v>
      </c>
      <c r="AH22" s="49">
        <v>362.74</v>
      </c>
      <c r="AI22" s="49">
        <v>280.041</v>
      </c>
      <c r="AJ22" s="49"/>
      <c r="AK22" s="49">
        <v>286.13799999999998</v>
      </c>
      <c r="AL22" s="49">
        <v>346.29500000000002</v>
      </c>
      <c r="AM22" s="49">
        <v>297.81299999999999</v>
      </c>
      <c r="AN22" s="49">
        <v>307.94299999999998</v>
      </c>
      <c r="AO22" s="49">
        <v>335.072</v>
      </c>
      <c r="AP22" s="49">
        <v>395.57799999999997</v>
      </c>
      <c r="AQ22" s="49">
        <v>417.25</v>
      </c>
      <c r="AR22" s="49">
        <v>390.26499999999999</v>
      </c>
      <c r="AS22" s="49">
        <v>356.428</v>
      </c>
      <c r="AT22" s="49">
        <v>328.25900000000001</v>
      </c>
      <c r="AU22" s="49">
        <v>310.27100000000002</v>
      </c>
      <c r="AV22" s="49">
        <v>333.28300000000002</v>
      </c>
      <c r="AW22" s="49">
        <v>324.39100000000002</v>
      </c>
      <c r="AX22" s="49">
        <v>309.00799999999998</v>
      </c>
      <c r="AY22" s="49">
        <v>261.62700000000001</v>
      </c>
      <c r="AZ22" s="49">
        <v>328.09699999999998</v>
      </c>
      <c r="BA22" s="49">
        <v>293</v>
      </c>
      <c r="BB22" s="49">
        <v>222</v>
      </c>
      <c r="BC22" s="49">
        <v>277</v>
      </c>
      <c r="BD22" s="49">
        <v>295</v>
      </c>
      <c r="BE22" s="49">
        <v>296</v>
      </c>
      <c r="BF22" s="49">
        <v>320</v>
      </c>
      <c r="BG22" s="49">
        <v>423</v>
      </c>
      <c r="BH22" s="49">
        <v>523</v>
      </c>
      <c r="BI22" s="49">
        <v>485</v>
      </c>
      <c r="BJ22" s="49">
        <v>348</v>
      </c>
      <c r="BK22" s="49">
        <v>431</v>
      </c>
      <c r="BL22" s="49">
        <v>511</v>
      </c>
      <c r="BM22" s="49">
        <v>596</v>
      </c>
      <c r="BN22" s="49">
        <v>623</v>
      </c>
      <c r="BO22" s="49">
        <v>800</v>
      </c>
      <c r="BP22" s="49">
        <v>902</v>
      </c>
      <c r="BQ22" s="49">
        <v>511</v>
      </c>
      <c r="BR22" s="49">
        <v>368</v>
      </c>
      <c r="BS22" s="49">
        <v>437</v>
      </c>
      <c r="BT22" s="49">
        <v>591</v>
      </c>
      <c r="BU22" s="49">
        <v>687</v>
      </c>
      <c r="BV22" s="49">
        <v>761</v>
      </c>
      <c r="BW22" s="49">
        <v>893</v>
      </c>
      <c r="BX22" s="49">
        <v>1097</v>
      </c>
      <c r="BY22" s="49">
        <v>1149</v>
      </c>
      <c r="BZ22" s="49">
        <v>1218</v>
      </c>
      <c r="CA22" s="49">
        <v>1474</v>
      </c>
      <c r="CB22" s="49">
        <v>1664</v>
      </c>
      <c r="CC22" s="49">
        <v>1783</v>
      </c>
      <c r="CD22" s="49">
        <v>1999</v>
      </c>
      <c r="CE22" s="49">
        <v>2421</v>
      </c>
      <c r="CF22" s="49">
        <v>1491</v>
      </c>
      <c r="CG22" s="49">
        <v>1193</v>
      </c>
      <c r="CH22" s="49">
        <v>1141</v>
      </c>
      <c r="CI22" s="49">
        <v>1929</v>
      </c>
      <c r="CJ22" s="49">
        <v>2380</v>
      </c>
      <c r="CK22" s="49">
        <v>2699</v>
      </c>
      <c r="CL22" s="49">
        <v>2715</v>
      </c>
      <c r="CM22" s="49">
        <v>3680</v>
      </c>
      <c r="CN22" s="49">
        <v>5353</v>
      </c>
      <c r="CO22" s="49">
        <v>6310</v>
      </c>
      <c r="CP22" s="49">
        <v>7331</v>
      </c>
      <c r="CQ22" s="49"/>
      <c r="CR22" s="49"/>
      <c r="CS22" s="49"/>
    </row>
    <row r="23" spans="1:97" s="167" customFormat="1">
      <c r="A23" s="49" t="s">
        <v>233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>
        <v>1.784</v>
      </c>
      <c r="AH23" s="49"/>
      <c r="AI23" s="49"/>
      <c r="AJ23" s="49"/>
      <c r="AK23" s="49">
        <v>4.5759999999999996</v>
      </c>
      <c r="AL23" s="49"/>
      <c r="AM23" s="49"/>
      <c r="AN23" s="49"/>
      <c r="AO23" s="49">
        <v>6.9409999999999998</v>
      </c>
      <c r="AP23" s="49">
        <v>9.0679999999999996</v>
      </c>
      <c r="AQ23" s="49">
        <v>10.164999999999999</v>
      </c>
      <c r="AR23" s="49">
        <v>10.324</v>
      </c>
      <c r="AS23" s="49">
        <v>3.173</v>
      </c>
      <c r="AT23" s="49">
        <v>6.4050000000000002</v>
      </c>
      <c r="AU23" s="49">
        <v>6.5759999999999996</v>
      </c>
      <c r="AV23" s="49">
        <v>8.3490000000000002</v>
      </c>
      <c r="AW23" s="49">
        <v>2.3780000000000001</v>
      </c>
      <c r="AX23" s="49">
        <v>4.4969999999999999</v>
      </c>
      <c r="AY23" s="49">
        <v>5.81</v>
      </c>
      <c r="AZ23" s="49">
        <v>5.5119999999999996</v>
      </c>
      <c r="BA23" s="49">
        <v>3</v>
      </c>
      <c r="BB23" s="49">
        <v>4</v>
      </c>
      <c r="BC23" s="49">
        <v>3</v>
      </c>
      <c r="BD23" s="49">
        <v>7</v>
      </c>
      <c r="BE23" s="49">
        <v>2</v>
      </c>
      <c r="BF23" s="49">
        <v>9</v>
      </c>
      <c r="BG23" s="49">
        <v>6</v>
      </c>
      <c r="BH23" s="49">
        <v>9</v>
      </c>
      <c r="BI23" s="49">
        <v>4</v>
      </c>
      <c r="BJ23" s="49">
        <v>10</v>
      </c>
      <c r="BK23" s="49">
        <v>12</v>
      </c>
      <c r="BL23" s="49">
        <v>11</v>
      </c>
      <c r="BM23" s="49">
        <v>33</v>
      </c>
      <c r="BN23" s="49">
        <v>38</v>
      </c>
      <c r="BO23" s="49">
        <v>39</v>
      </c>
      <c r="BP23" s="49">
        <v>40</v>
      </c>
      <c r="BQ23" s="49">
        <v>91</v>
      </c>
      <c r="BR23" s="49">
        <v>107</v>
      </c>
      <c r="BS23" s="49">
        <v>37</v>
      </c>
      <c r="BT23" s="49">
        <v>52</v>
      </c>
      <c r="BU23" s="49">
        <v>61</v>
      </c>
      <c r="BV23" s="49">
        <v>74</v>
      </c>
      <c r="BW23" s="49">
        <v>52</v>
      </c>
      <c r="BX23" s="49">
        <v>70</v>
      </c>
      <c r="BY23" s="49"/>
      <c r="BZ23" s="49">
        <v>96</v>
      </c>
      <c r="CA23" s="49">
        <v>64</v>
      </c>
      <c r="CB23" s="49">
        <v>36</v>
      </c>
      <c r="CC23" s="49">
        <v>132</v>
      </c>
      <c r="CD23" s="49">
        <v>736</v>
      </c>
      <c r="CE23" s="49">
        <v>158</v>
      </c>
      <c r="CF23" s="49">
        <v>108</v>
      </c>
      <c r="CG23" s="49">
        <v>467</v>
      </c>
      <c r="CH23" s="49">
        <v>1544</v>
      </c>
      <c r="CI23" s="49">
        <v>2803</v>
      </c>
      <c r="CJ23" s="49">
        <v>420</v>
      </c>
      <c r="CK23" s="49">
        <v>296</v>
      </c>
      <c r="CL23" s="49">
        <v>3881</v>
      </c>
      <c r="CM23" s="49">
        <v>1173</v>
      </c>
      <c r="CN23" s="49">
        <v>1356</v>
      </c>
      <c r="CO23" s="49">
        <v>881</v>
      </c>
      <c r="CP23" s="49">
        <v>5672</v>
      </c>
      <c r="CQ23" s="49"/>
      <c r="CR23" s="49"/>
      <c r="CS23" s="49"/>
    </row>
    <row r="24" spans="1:97" s="167" customFormat="1">
      <c r="A24" s="49" t="s">
        <v>234</v>
      </c>
      <c r="B24" s="49">
        <v>181.928</v>
      </c>
      <c r="C24" s="49">
        <v>186.15700000000001</v>
      </c>
      <c r="D24" s="49">
        <v>203.83199999999999</v>
      </c>
      <c r="E24" s="49">
        <v>228.46700000000001</v>
      </c>
      <c r="F24" s="49">
        <v>175.34399999999999</v>
      </c>
      <c r="G24" s="49">
        <v>183.196</v>
      </c>
      <c r="H24" s="49">
        <v>187.405</v>
      </c>
      <c r="I24" s="49">
        <v>144.755</v>
      </c>
      <c r="J24" s="49">
        <v>140.88999999999999</v>
      </c>
      <c r="K24" s="49">
        <v>148.797</v>
      </c>
      <c r="L24" s="49">
        <v>150.833</v>
      </c>
      <c r="M24" s="49">
        <v>170.577</v>
      </c>
      <c r="N24" s="49">
        <v>193.029</v>
      </c>
      <c r="O24" s="49">
        <v>198.86699999999999</v>
      </c>
      <c r="P24" s="49">
        <v>247.39</v>
      </c>
      <c r="Q24" s="49">
        <v>259.04700000000003</v>
      </c>
      <c r="R24" s="49">
        <v>229.434</v>
      </c>
      <c r="S24" s="49">
        <v>272.899</v>
      </c>
      <c r="T24" s="49">
        <v>333.03300000000002</v>
      </c>
      <c r="U24" s="49">
        <v>365.55200000000002</v>
      </c>
      <c r="V24" s="49">
        <v>285.435</v>
      </c>
      <c r="W24" s="49">
        <v>353.83300000000003</v>
      </c>
      <c r="X24" s="49">
        <v>402.98700000000002</v>
      </c>
      <c r="Y24" s="49">
        <v>469.20600000000002</v>
      </c>
      <c r="Z24" s="49">
        <v>433.98899999999998</v>
      </c>
      <c r="AA24" s="49">
        <v>685.30100000000004</v>
      </c>
      <c r="AB24" s="49">
        <v>613.18200000000002</v>
      </c>
      <c r="AC24" s="49">
        <v>503.47699999999998</v>
      </c>
      <c r="AD24" s="49">
        <v>476.05799999999999</v>
      </c>
      <c r="AE24" s="49">
        <v>615.34299999999996</v>
      </c>
      <c r="AF24" s="49">
        <v>354.03399999999999</v>
      </c>
      <c r="AG24" s="49">
        <v>388.267</v>
      </c>
      <c r="AH24" s="49">
        <v>402.553</v>
      </c>
      <c r="AI24" s="49">
        <v>539.09799999999996</v>
      </c>
      <c r="AJ24" s="49"/>
      <c r="AK24" s="49">
        <v>381.57400000000001</v>
      </c>
      <c r="AL24" s="49">
        <v>634.87099999999998</v>
      </c>
      <c r="AM24" s="49">
        <v>662.48599999999999</v>
      </c>
      <c r="AN24" s="49">
        <v>578.74099999999999</v>
      </c>
      <c r="AO24" s="49">
        <v>281.85700000000003</v>
      </c>
      <c r="AP24" s="49">
        <v>242.71199999999999</v>
      </c>
      <c r="AQ24" s="49">
        <v>290.56099999999998</v>
      </c>
      <c r="AR24" s="49">
        <v>284.702</v>
      </c>
      <c r="AS24" s="49">
        <v>307.85700000000003</v>
      </c>
      <c r="AT24" s="49">
        <v>287.00700000000001</v>
      </c>
      <c r="AU24" s="49">
        <v>311.37700000000001</v>
      </c>
      <c r="AV24" s="49">
        <v>306.21300000000002</v>
      </c>
      <c r="AW24" s="49">
        <v>163.964</v>
      </c>
      <c r="AX24" s="49">
        <v>283.43</v>
      </c>
      <c r="AY24" s="49">
        <v>297.55900000000003</v>
      </c>
      <c r="AZ24" s="49">
        <v>309.53699999999998</v>
      </c>
      <c r="BA24" s="49">
        <v>140</v>
      </c>
      <c r="BB24" s="49">
        <v>132</v>
      </c>
      <c r="BC24" s="49">
        <v>189</v>
      </c>
      <c r="BD24" s="49">
        <v>156</v>
      </c>
      <c r="BE24" s="49">
        <v>140</v>
      </c>
      <c r="BF24" s="49">
        <v>115</v>
      </c>
      <c r="BG24" s="49">
        <v>130</v>
      </c>
      <c r="BH24" s="49">
        <v>129</v>
      </c>
      <c r="BI24" s="49">
        <v>199</v>
      </c>
      <c r="BJ24" s="49">
        <v>119</v>
      </c>
      <c r="BK24" s="49">
        <v>190</v>
      </c>
      <c r="BL24" s="49">
        <v>215</v>
      </c>
      <c r="BM24" s="49">
        <v>420</v>
      </c>
      <c r="BN24" s="49">
        <v>331</v>
      </c>
      <c r="BO24" s="49">
        <v>488</v>
      </c>
      <c r="BP24" s="49">
        <v>529</v>
      </c>
      <c r="BQ24" s="49">
        <v>574</v>
      </c>
      <c r="BR24" s="49">
        <v>465</v>
      </c>
      <c r="BS24" s="49">
        <v>515</v>
      </c>
      <c r="BT24" s="49">
        <v>526</v>
      </c>
      <c r="BU24" s="49">
        <v>775</v>
      </c>
      <c r="BV24" s="49">
        <v>653</v>
      </c>
      <c r="BW24" s="49">
        <v>953</v>
      </c>
      <c r="BX24" s="49">
        <v>1090</v>
      </c>
      <c r="BY24" s="49">
        <v>979</v>
      </c>
      <c r="BZ24" s="49">
        <v>1158</v>
      </c>
      <c r="CA24" s="49">
        <v>1392</v>
      </c>
      <c r="CB24" s="49">
        <v>1372</v>
      </c>
      <c r="CC24" s="49">
        <v>1605</v>
      </c>
      <c r="CD24" s="49">
        <v>1673</v>
      </c>
      <c r="CE24" s="49">
        <v>2750</v>
      </c>
      <c r="CF24" s="49">
        <v>3044</v>
      </c>
      <c r="CG24" s="49">
        <v>2946</v>
      </c>
      <c r="CH24" s="49">
        <v>2494</v>
      </c>
      <c r="CI24" s="49">
        <v>3355</v>
      </c>
      <c r="CJ24" s="49">
        <v>3834</v>
      </c>
      <c r="CK24" s="49">
        <v>4780</v>
      </c>
      <c r="CL24" s="49">
        <v>5493</v>
      </c>
      <c r="CM24" s="49">
        <v>6860</v>
      </c>
      <c r="CN24" s="49">
        <v>7473</v>
      </c>
      <c r="CO24" s="49">
        <v>8130</v>
      </c>
      <c r="CP24" s="49">
        <v>9769</v>
      </c>
      <c r="CQ24" s="49"/>
      <c r="CR24" s="49"/>
      <c r="CS24" s="49"/>
    </row>
    <row r="25" spans="1:97" s="167" customFormat="1">
      <c r="A25" s="49" t="s">
        <v>235</v>
      </c>
      <c r="B25" s="49">
        <v>49.369</v>
      </c>
      <c r="C25" s="49">
        <v>62.42</v>
      </c>
      <c r="D25" s="49">
        <v>63.494999999999997</v>
      </c>
      <c r="E25" s="49"/>
      <c r="F25" s="49"/>
      <c r="G25" s="49"/>
      <c r="H25" s="49"/>
      <c r="I25" s="49"/>
      <c r="J25" s="49"/>
      <c r="K25" s="49"/>
      <c r="L25" s="49"/>
      <c r="M25" s="49">
        <v>11.5</v>
      </c>
      <c r="N25" s="49"/>
      <c r="O25" s="49">
        <v>5.5839999999999996</v>
      </c>
      <c r="P25" s="49"/>
      <c r="Q25" s="49">
        <v>0.217</v>
      </c>
      <c r="R25" s="49">
        <v>6.8049999999999997</v>
      </c>
      <c r="S25" s="49">
        <v>1.2290000000000001</v>
      </c>
      <c r="T25" s="49"/>
      <c r="U25" s="49">
        <v>1.18</v>
      </c>
      <c r="V25" s="49">
        <v>4.3860000000000001</v>
      </c>
      <c r="W25" s="49">
        <v>3.5840000000000001</v>
      </c>
      <c r="X25" s="49">
        <v>3.6629999999999998</v>
      </c>
      <c r="Y25" s="49">
        <v>5.8559999999999999</v>
      </c>
      <c r="Z25" s="49">
        <v>14.708</v>
      </c>
      <c r="AA25" s="49">
        <v>10.823</v>
      </c>
      <c r="AB25" s="49">
        <v>4.0309999999999997</v>
      </c>
      <c r="AC25" s="49">
        <v>15.417</v>
      </c>
      <c r="AD25" s="49"/>
      <c r="AE25" s="49"/>
      <c r="AF25" s="49">
        <v>15.109</v>
      </c>
      <c r="AG25" s="49">
        <v>19.623999999999999</v>
      </c>
      <c r="AH25" s="49"/>
      <c r="AI25" s="49"/>
      <c r="AJ25" s="49"/>
      <c r="AK25" s="49">
        <v>245.596</v>
      </c>
      <c r="AL25" s="49"/>
      <c r="AM25" s="49"/>
      <c r="AN25" s="49"/>
      <c r="AO25" s="49">
        <v>270.649</v>
      </c>
      <c r="AP25" s="49">
        <v>272.36700000000002</v>
      </c>
      <c r="AQ25" s="49">
        <v>273.18200000000002</v>
      </c>
      <c r="AR25" s="49">
        <v>269.00299999999999</v>
      </c>
      <c r="AS25" s="49">
        <v>282.69499999999999</v>
      </c>
      <c r="AT25" s="49">
        <v>269.56900000000002</v>
      </c>
      <c r="AU25" s="49">
        <v>267.25200000000001</v>
      </c>
      <c r="AV25" s="49">
        <v>282.65800000000002</v>
      </c>
      <c r="AW25" s="49">
        <v>268.80799999999999</v>
      </c>
      <c r="AX25" s="49">
        <v>275.71100000000001</v>
      </c>
      <c r="AY25" s="49">
        <v>277.03300000000002</v>
      </c>
      <c r="AZ25" s="49">
        <v>258.63499999999999</v>
      </c>
      <c r="BA25" s="49">
        <v>296</v>
      </c>
      <c r="BB25" s="49">
        <v>377</v>
      </c>
      <c r="BC25" s="49">
        <v>321</v>
      </c>
      <c r="BD25" s="49">
        <v>229</v>
      </c>
      <c r="BE25" s="49">
        <v>322</v>
      </c>
      <c r="BF25" s="49">
        <v>350</v>
      </c>
      <c r="BG25" s="49">
        <v>251</v>
      </c>
      <c r="BH25" s="49">
        <v>170</v>
      </c>
      <c r="BI25" s="49">
        <v>85</v>
      </c>
      <c r="BJ25" s="49">
        <v>46</v>
      </c>
      <c r="BK25" s="49">
        <v>74</v>
      </c>
      <c r="BL25" s="49">
        <v>65</v>
      </c>
      <c r="BM25" s="49">
        <v>53</v>
      </c>
      <c r="BN25" s="49">
        <v>56</v>
      </c>
      <c r="BO25" s="49">
        <v>77</v>
      </c>
      <c r="BP25" s="49">
        <v>80</v>
      </c>
      <c r="BQ25" s="49">
        <v>92</v>
      </c>
      <c r="BR25" s="49">
        <v>85</v>
      </c>
      <c r="BS25" s="49">
        <v>127</v>
      </c>
      <c r="BT25" s="49">
        <v>119</v>
      </c>
      <c r="BU25" s="49">
        <v>141</v>
      </c>
      <c r="BV25" s="49">
        <v>174</v>
      </c>
      <c r="BW25" s="49">
        <v>222</v>
      </c>
      <c r="BX25" s="49">
        <v>235</v>
      </c>
      <c r="BY25" s="49">
        <v>288</v>
      </c>
      <c r="BZ25" s="49">
        <v>333</v>
      </c>
      <c r="CA25" s="49">
        <v>301</v>
      </c>
      <c r="CB25" s="49">
        <v>298</v>
      </c>
      <c r="CC25" s="49">
        <v>300</v>
      </c>
      <c r="CD25" s="49">
        <v>334</v>
      </c>
      <c r="CE25" s="49">
        <v>359</v>
      </c>
      <c r="CF25" s="49">
        <v>338</v>
      </c>
      <c r="CG25" s="49">
        <v>354</v>
      </c>
      <c r="CH25" s="49">
        <v>367</v>
      </c>
      <c r="CI25" s="49">
        <v>421</v>
      </c>
      <c r="CJ25" s="49">
        <v>513</v>
      </c>
      <c r="CK25" s="49">
        <v>764</v>
      </c>
      <c r="CL25" s="49">
        <v>845</v>
      </c>
      <c r="CM25" s="49">
        <v>948</v>
      </c>
      <c r="CN25" s="49">
        <v>752</v>
      </c>
      <c r="CO25" s="49">
        <v>837</v>
      </c>
      <c r="CP25" s="49">
        <v>1074</v>
      </c>
      <c r="CQ25" s="49"/>
      <c r="CR25" s="49"/>
      <c r="CS25" s="49"/>
    </row>
    <row r="26" spans="1:97" s="167" customFormat="1">
      <c r="A26" s="49" t="s">
        <v>236</v>
      </c>
      <c r="B26" s="49">
        <v>3.944</v>
      </c>
      <c r="C26" s="49">
        <v>5.6070000000000002</v>
      </c>
      <c r="D26" s="49">
        <v>5.58</v>
      </c>
      <c r="E26" s="49">
        <v>5.6760000000000002</v>
      </c>
      <c r="F26" s="49">
        <v>6.2030000000000003</v>
      </c>
      <c r="G26" s="49">
        <v>6.5279999999999996</v>
      </c>
      <c r="H26" s="49">
        <v>5.7880000000000003</v>
      </c>
      <c r="I26" s="49">
        <v>4.0149999999999997</v>
      </c>
      <c r="J26" s="49">
        <v>3.0430000000000001</v>
      </c>
      <c r="K26" s="49">
        <v>2.0379999999999998</v>
      </c>
      <c r="L26" s="49">
        <v>1.36</v>
      </c>
      <c r="M26" s="49">
        <v>0.85599999999999998</v>
      </c>
      <c r="N26" s="49">
        <v>0.34499999999999997</v>
      </c>
      <c r="O26" s="49"/>
      <c r="P26" s="49"/>
      <c r="Q26" s="49"/>
      <c r="R26" s="49"/>
      <c r="S26" s="49"/>
      <c r="T26" s="49">
        <v>0.34</v>
      </c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>
        <v>1500</v>
      </c>
      <c r="BF26" s="49">
        <v>1500</v>
      </c>
      <c r="BG26" s="49">
        <v>1500</v>
      </c>
      <c r="BH26" s="49">
        <v>1056</v>
      </c>
      <c r="BI26" s="49">
        <v>827</v>
      </c>
      <c r="BJ26" s="49">
        <v>222</v>
      </c>
      <c r="BK26" s="49">
        <v>86</v>
      </c>
      <c r="BL26" s="49">
        <v>24</v>
      </c>
      <c r="BM26" s="49">
        <v>15</v>
      </c>
      <c r="BN26" s="49">
        <v>14</v>
      </c>
      <c r="BO26" s="49">
        <v>14</v>
      </c>
      <c r="BP26" s="49">
        <v>3</v>
      </c>
      <c r="BQ26" s="49"/>
      <c r="BR26" s="49"/>
      <c r="BS26" s="49"/>
      <c r="BT26" s="49"/>
      <c r="BU26" s="49"/>
      <c r="BV26" s="49"/>
      <c r="BW26" s="49"/>
      <c r="BX26" s="49">
        <v>998</v>
      </c>
      <c r="BY26" s="49">
        <v>999</v>
      </c>
      <c r="BZ26" s="49">
        <v>999</v>
      </c>
      <c r="CA26" s="49">
        <v>1000</v>
      </c>
      <c r="CB26" s="49"/>
      <c r="CC26" s="49"/>
      <c r="CD26" s="49"/>
      <c r="CE26" s="49">
        <v>1249</v>
      </c>
      <c r="CF26" s="49">
        <v>1249</v>
      </c>
      <c r="CG26" s="49">
        <v>1250</v>
      </c>
      <c r="CH26" s="49">
        <v>1250</v>
      </c>
      <c r="CI26" s="49">
        <v>1249</v>
      </c>
      <c r="CJ26" s="49">
        <v>1249</v>
      </c>
      <c r="CK26" s="49">
        <v>1250</v>
      </c>
      <c r="CL26" s="49">
        <v>1250</v>
      </c>
      <c r="CM26" s="49"/>
      <c r="CN26" s="49"/>
      <c r="CO26" s="49"/>
      <c r="CP26" s="49"/>
      <c r="CQ26" s="49"/>
      <c r="CR26" s="49"/>
      <c r="CS26" s="49"/>
    </row>
    <row r="27" spans="1:97" s="167" customFormat="1">
      <c r="A27" s="49" t="s">
        <v>237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</row>
    <row r="28" spans="1:97" s="167" customFormat="1">
      <c r="A28" s="49" t="s">
        <v>238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>
        <v>4</v>
      </c>
      <c r="BF28" s="49"/>
      <c r="BG28" s="49"/>
      <c r="BH28" s="49">
        <v>4</v>
      </c>
      <c r="BI28" s="49">
        <v>4</v>
      </c>
      <c r="BJ28" s="49">
        <v>5</v>
      </c>
      <c r="BK28" s="49">
        <v>5</v>
      </c>
      <c r="BL28" s="49">
        <v>5</v>
      </c>
      <c r="BM28" s="49"/>
      <c r="BN28" s="49"/>
      <c r="BO28" s="49"/>
      <c r="BP28" s="49"/>
      <c r="BQ28" s="49"/>
      <c r="BR28" s="49">
        <v>80</v>
      </c>
      <c r="BS28" s="49">
        <v>84</v>
      </c>
      <c r="BT28" s="49">
        <v>89</v>
      </c>
      <c r="BU28" s="49">
        <v>91</v>
      </c>
      <c r="BV28" s="49">
        <v>100</v>
      </c>
      <c r="BW28" s="49">
        <v>124</v>
      </c>
      <c r="BX28" s="49">
        <v>116</v>
      </c>
      <c r="BY28" s="49"/>
      <c r="BZ28" s="49">
        <v>135</v>
      </c>
      <c r="CA28" s="49">
        <v>132</v>
      </c>
      <c r="CB28" s="49">
        <v>140</v>
      </c>
      <c r="CC28" s="49">
        <v>144</v>
      </c>
      <c r="CD28" s="49"/>
      <c r="CE28" s="49"/>
      <c r="CF28" s="49"/>
      <c r="CG28" s="49">
        <v>176</v>
      </c>
      <c r="CH28" s="49">
        <v>187</v>
      </c>
      <c r="CI28" s="49">
        <v>208</v>
      </c>
      <c r="CJ28" s="49">
        <v>230</v>
      </c>
      <c r="CK28" s="49">
        <v>228</v>
      </c>
      <c r="CL28" s="49">
        <v>246</v>
      </c>
      <c r="CM28" s="49">
        <v>250</v>
      </c>
      <c r="CN28" s="49">
        <v>273</v>
      </c>
      <c r="CO28" s="49">
        <v>288</v>
      </c>
      <c r="CP28" s="49">
        <v>300</v>
      </c>
      <c r="CQ28" s="49"/>
      <c r="CR28" s="49"/>
      <c r="CS28" s="49"/>
    </row>
    <row r="29" spans="1:97" s="167" customFormat="1">
      <c r="A29" s="49" t="s">
        <v>239</v>
      </c>
      <c r="B29" s="171">
        <v>0.52800000000002001</v>
      </c>
      <c r="C29" s="171">
        <v>4.117</v>
      </c>
      <c r="D29" s="171">
        <v>0.58399999999999996</v>
      </c>
      <c r="E29" s="171">
        <v>4.1760000000000002</v>
      </c>
      <c r="F29" s="171">
        <v>0.52500000000003</v>
      </c>
      <c r="G29" s="171">
        <v>4.117</v>
      </c>
      <c r="H29" s="171"/>
      <c r="I29" s="171">
        <v>5.6843418860808002E-14</v>
      </c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>
        <v>-1.1368683772161999E-13</v>
      </c>
      <c r="U29" s="171">
        <v>1.1368683772161999E-13</v>
      </c>
      <c r="V29" s="171"/>
      <c r="W29" s="171">
        <v>1.1368683772161999E-13</v>
      </c>
      <c r="X29" s="171"/>
      <c r="Y29" s="171">
        <v>-1.1368683772161999E-13</v>
      </c>
      <c r="Z29" s="171"/>
      <c r="AA29" s="171"/>
      <c r="AB29" s="171">
        <v>1.1368683772161999E-13</v>
      </c>
      <c r="AC29" s="171">
        <v>40.832999999999998</v>
      </c>
      <c r="AD29" s="171"/>
      <c r="AE29" s="171">
        <v>1.1368683772161999E-13</v>
      </c>
      <c r="AF29" s="171">
        <v>198.13300000000001</v>
      </c>
      <c r="AG29" s="171">
        <v>30.175999999999998</v>
      </c>
      <c r="AH29" s="171"/>
      <c r="AI29" s="171">
        <v>1.1368683772161999E-13</v>
      </c>
      <c r="AJ29" s="171"/>
      <c r="AK29" s="171">
        <v>24.797999999999998</v>
      </c>
      <c r="AL29" s="171">
        <v>1.1368683772161999E-13</v>
      </c>
      <c r="AM29" s="171"/>
      <c r="AN29" s="171"/>
      <c r="AO29" s="171">
        <v>35.439</v>
      </c>
      <c r="AP29" s="171">
        <v>27.678999999999998</v>
      </c>
      <c r="AQ29" s="171">
        <v>30.802</v>
      </c>
      <c r="AR29" s="171">
        <v>37.064999999999998</v>
      </c>
      <c r="AS29" s="171">
        <v>26.07</v>
      </c>
      <c r="AT29" s="171">
        <v>34.337000000000003</v>
      </c>
      <c r="AU29" s="171">
        <v>40.314999999999998</v>
      </c>
      <c r="AV29" s="171">
        <v>55.423999999999999</v>
      </c>
      <c r="AW29" s="171">
        <v>185.95500000000001</v>
      </c>
      <c r="AX29" s="171">
        <v>25.298999999999999</v>
      </c>
      <c r="AY29" s="171">
        <v>26.7</v>
      </c>
      <c r="AZ29" s="171">
        <v>32.125999999999998</v>
      </c>
      <c r="BA29" s="171">
        <v>164</v>
      </c>
      <c r="BB29" s="171">
        <v>148</v>
      </c>
      <c r="BC29" s="171">
        <v>146</v>
      </c>
      <c r="BD29" s="171">
        <v>168</v>
      </c>
      <c r="BE29" s="171">
        <v>174</v>
      </c>
      <c r="BF29" s="171">
        <v>162</v>
      </c>
      <c r="BG29" s="171">
        <v>169</v>
      </c>
      <c r="BH29" s="171">
        <v>195</v>
      </c>
      <c r="BI29" s="171">
        <v>215</v>
      </c>
      <c r="BJ29" s="171">
        <v>240</v>
      </c>
      <c r="BK29" s="171">
        <v>236</v>
      </c>
      <c r="BL29" s="171">
        <v>197</v>
      </c>
      <c r="BM29" s="171">
        <v>36</v>
      </c>
      <c r="BN29" s="171">
        <v>44</v>
      </c>
      <c r="BO29" s="171">
        <v>44</v>
      </c>
      <c r="BP29" s="171">
        <v>54</v>
      </c>
      <c r="BQ29" s="171">
        <v>61</v>
      </c>
      <c r="BR29" s="171">
        <v>78</v>
      </c>
      <c r="BS29" s="171">
        <v>117</v>
      </c>
      <c r="BT29" s="171">
        <v>98</v>
      </c>
      <c r="BU29" s="171">
        <v>29</v>
      </c>
      <c r="BV29" s="171">
        <v>141</v>
      </c>
      <c r="BW29" s="171">
        <v>166</v>
      </c>
      <c r="BX29" s="171">
        <v>63</v>
      </c>
      <c r="BY29" s="171">
        <v>510</v>
      </c>
      <c r="BZ29" s="171">
        <v>65</v>
      </c>
      <c r="CA29" s="171">
        <v>85</v>
      </c>
      <c r="CB29" s="171">
        <v>102</v>
      </c>
      <c r="CC29" s="171">
        <v>371</v>
      </c>
      <c r="CD29" s="171">
        <v>820</v>
      </c>
      <c r="CE29" s="171">
        <v>636</v>
      </c>
      <c r="CF29" s="171">
        <v>625</v>
      </c>
      <c r="CG29" s="171">
        <v>177</v>
      </c>
      <c r="CH29" s="171">
        <v>277</v>
      </c>
      <c r="CI29" s="171">
        <v>369</v>
      </c>
      <c r="CJ29" s="171">
        <v>475</v>
      </c>
      <c r="CK29" s="171">
        <v>614</v>
      </c>
      <c r="CL29" s="171">
        <v>793</v>
      </c>
      <c r="CM29" s="171">
        <v>1058</v>
      </c>
      <c r="CN29" s="171">
        <v>1272</v>
      </c>
      <c r="CO29" s="171">
        <v>1601</v>
      </c>
      <c r="CP29" s="171">
        <v>2396</v>
      </c>
      <c r="CQ29" s="171"/>
      <c r="CR29" s="171"/>
      <c r="CS29" s="49"/>
    </row>
    <row r="30" spans="1:97" s="167" customFormat="1">
      <c r="A30" s="49" t="s">
        <v>240</v>
      </c>
      <c r="B30" s="49">
        <v>426.12900000000002</v>
      </c>
      <c r="C30" s="49">
        <v>423.69600000000003</v>
      </c>
      <c r="D30" s="49">
        <v>444.08</v>
      </c>
      <c r="E30" s="49">
        <v>379.44799999999998</v>
      </c>
      <c r="F30" s="49">
        <v>416.50900000000001</v>
      </c>
      <c r="G30" s="49">
        <v>476.238</v>
      </c>
      <c r="H30" s="49">
        <v>435.50200000000001</v>
      </c>
      <c r="I30" s="49">
        <v>334.11200000000002</v>
      </c>
      <c r="J30" s="49">
        <v>358.55099999999999</v>
      </c>
      <c r="K30" s="49">
        <v>374.036</v>
      </c>
      <c r="L30" s="49">
        <v>415.15300000000002</v>
      </c>
      <c r="M30" s="49">
        <v>421.15600000000001</v>
      </c>
      <c r="N30" s="49">
        <v>375.52</v>
      </c>
      <c r="O30" s="49">
        <v>425.49799999999999</v>
      </c>
      <c r="P30" s="49">
        <v>427.16699999999997</v>
      </c>
      <c r="Q30" s="49">
        <v>438.65899999999999</v>
      </c>
      <c r="R30" s="49">
        <v>534.38599999999997</v>
      </c>
      <c r="S30" s="49">
        <v>505.04399999999998</v>
      </c>
      <c r="T30" s="49">
        <v>657.76900000000001</v>
      </c>
      <c r="U30" s="49">
        <v>638.80700000000002</v>
      </c>
      <c r="V30" s="49">
        <v>623.86699999999996</v>
      </c>
      <c r="W30" s="49">
        <v>680.798</v>
      </c>
      <c r="X30" s="49">
        <v>856.44200000000001</v>
      </c>
      <c r="Y30" s="49">
        <v>967.16099999999994</v>
      </c>
      <c r="Z30" s="49">
        <v>876.55200000000002</v>
      </c>
      <c r="AA30" s="49">
        <v>1135.0160000000001</v>
      </c>
      <c r="AB30" s="49">
        <v>1004.465</v>
      </c>
      <c r="AC30" s="49">
        <v>778.59100000000001</v>
      </c>
      <c r="AD30" s="49">
        <v>702.17200000000003</v>
      </c>
      <c r="AE30" s="49">
        <v>891.32100000000003</v>
      </c>
      <c r="AF30" s="49">
        <v>888.80600000000004</v>
      </c>
      <c r="AG30" s="49">
        <v>784.37800000000004</v>
      </c>
      <c r="AH30" s="49">
        <v>765.29300000000001</v>
      </c>
      <c r="AI30" s="49">
        <v>819.13900000000001</v>
      </c>
      <c r="AJ30" s="49"/>
      <c r="AK30" s="49">
        <v>942.68200000000002</v>
      </c>
      <c r="AL30" s="49">
        <v>981.16600000000005</v>
      </c>
      <c r="AM30" s="49">
        <v>960.29899999999998</v>
      </c>
      <c r="AN30" s="49">
        <v>886.68399999999997</v>
      </c>
      <c r="AO30" s="49">
        <v>929.95799999999997</v>
      </c>
      <c r="AP30" s="49">
        <v>947.404</v>
      </c>
      <c r="AQ30" s="49">
        <v>1021.96</v>
      </c>
      <c r="AR30" s="49">
        <v>991.35900000000004</v>
      </c>
      <c r="AS30" s="49">
        <v>976.22299999999996</v>
      </c>
      <c r="AT30" s="49">
        <v>925.577</v>
      </c>
      <c r="AU30" s="49">
        <v>935.79100000000005</v>
      </c>
      <c r="AV30" s="49">
        <v>985.92700000000002</v>
      </c>
      <c r="AW30" s="49">
        <v>945.49599999999998</v>
      </c>
      <c r="AX30" s="49">
        <v>897.94500000000005</v>
      </c>
      <c r="AY30" s="49">
        <v>868.72900000000004</v>
      </c>
      <c r="AZ30" s="49">
        <v>933.90700000000004</v>
      </c>
      <c r="BA30" s="49">
        <v>896</v>
      </c>
      <c r="BB30" s="49">
        <v>883</v>
      </c>
      <c r="BC30" s="49">
        <v>936</v>
      </c>
      <c r="BD30" s="49">
        <v>855</v>
      </c>
      <c r="BE30" s="49">
        <v>2438</v>
      </c>
      <c r="BF30" s="49">
        <v>2456</v>
      </c>
      <c r="BG30" s="49">
        <v>2479</v>
      </c>
      <c r="BH30" s="49">
        <v>2086</v>
      </c>
      <c r="BI30" s="49">
        <v>1819</v>
      </c>
      <c r="BJ30" s="49">
        <v>990</v>
      </c>
      <c r="BK30" s="49">
        <v>1034</v>
      </c>
      <c r="BL30" s="49">
        <v>1028</v>
      </c>
      <c r="BM30" s="49">
        <v>1153</v>
      </c>
      <c r="BN30" s="49">
        <v>1106</v>
      </c>
      <c r="BO30" s="49">
        <v>1462</v>
      </c>
      <c r="BP30" s="49">
        <v>1608</v>
      </c>
      <c r="BQ30" s="49">
        <v>1329</v>
      </c>
      <c r="BR30" s="49">
        <v>1183</v>
      </c>
      <c r="BS30" s="49">
        <v>1317</v>
      </c>
      <c r="BT30" s="49">
        <v>1475</v>
      </c>
      <c r="BU30" s="49">
        <v>1784</v>
      </c>
      <c r="BV30" s="49">
        <v>1903</v>
      </c>
      <c r="BW30" s="49">
        <v>2410</v>
      </c>
      <c r="BX30" s="49">
        <v>3669</v>
      </c>
      <c r="BY30" s="49">
        <v>3925</v>
      </c>
      <c r="BZ30" s="49">
        <v>4004</v>
      </c>
      <c r="CA30" s="49">
        <v>4448</v>
      </c>
      <c r="CB30" s="49">
        <v>3612</v>
      </c>
      <c r="CC30" s="49">
        <v>4335</v>
      </c>
      <c r="CD30" s="49">
        <v>5562</v>
      </c>
      <c r="CE30" s="49">
        <v>7573</v>
      </c>
      <c r="CF30" s="49">
        <v>6855</v>
      </c>
      <c r="CG30" s="49">
        <v>6563</v>
      </c>
      <c r="CH30" s="49">
        <v>7260</v>
      </c>
      <c r="CI30" s="49">
        <v>10334</v>
      </c>
      <c r="CJ30" s="49">
        <v>9101</v>
      </c>
      <c r="CK30" s="49">
        <v>10631</v>
      </c>
      <c r="CL30" s="49">
        <v>15223</v>
      </c>
      <c r="CM30" s="49">
        <v>13969</v>
      </c>
      <c r="CN30" s="49">
        <v>16479</v>
      </c>
      <c r="CO30" s="49">
        <v>18047</v>
      </c>
      <c r="CP30" s="49">
        <v>26542</v>
      </c>
      <c r="CQ30" s="49"/>
      <c r="CR30" s="49"/>
      <c r="CS30" s="49"/>
    </row>
    <row r="31" spans="1:97" s="167" customFormat="1" ht="11.2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</row>
    <row r="32" spans="1:97" s="167" customFormat="1">
      <c r="A32" s="49" t="s">
        <v>241</v>
      </c>
      <c r="B32" s="49">
        <v>300</v>
      </c>
      <c r="C32" s="49">
        <v>300</v>
      </c>
      <c r="D32" s="49">
        <v>300</v>
      </c>
      <c r="E32" s="49">
        <v>300</v>
      </c>
      <c r="F32" s="49">
        <v>300</v>
      </c>
      <c r="G32" s="49">
        <v>300</v>
      </c>
      <c r="H32" s="49"/>
      <c r="I32" s="49"/>
      <c r="J32" s="49"/>
      <c r="K32" s="49"/>
      <c r="L32" s="49"/>
      <c r="M32" s="49"/>
      <c r="N32" s="49">
        <v>8.2330000000000005</v>
      </c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>
        <v>1356.375</v>
      </c>
      <c r="AX32" s="49">
        <v>1363.2760000000001</v>
      </c>
      <c r="AY32" s="49">
        <v>1370.249</v>
      </c>
      <c r="AZ32" s="49">
        <v>1377.259</v>
      </c>
      <c r="BA32" s="49">
        <v>1384</v>
      </c>
      <c r="BB32" s="49">
        <v>1391</v>
      </c>
      <c r="BC32" s="49">
        <v>1399</v>
      </c>
      <c r="BD32" s="49">
        <v>1406</v>
      </c>
      <c r="BE32" s="49"/>
      <c r="BF32" s="49"/>
      <c r="BG32" s="49"/>
      <c r="BH32" s="49">
        <v>1982</v>
      </c>
      <c r="BI32" s="49">
        <v>1983</v>
      </c>
      <c r="BJ32" s="49">
        <v>1984</v>
      </c>
      <c r="BK32" s="49">
        <v>1984</v>
      </c>
      <c r="BL32" s="49">
        <v>1985</v>
      </c>
      <c r="BM32" s="49">
        <v>1985</v>
      </c>
      <c r="BN32" s="49">
        <v>1986</v>
      </c>
      <c r="BO32" s="49">
        <v>1987</v>
      </c>
      <c r="BP32" s="49">
        <v>1987</v>
      </c>
      <c r="BQ32" s="49">
        <v>1988</v>
      </c>
      <c r="BR32" s="49">
        <v>1988</v>
      </c>
      <c r="BS32" s="49">
        <v>1989</v>
      </c>
      <c r="BT32" s="49">
        <v>1990</v>
      </c>
      <c r="BU32" s="49">
        <v>1991</v>
      </c>
      <c r="BV32" s="49">
        <v>6959</v>
      </c>
      <c r="BW32" s="49">
        <v>6960</v>
      </c>
      <c r="BX32" s="49">
        <v>5963</v>
      </c>
      <c r="BY32" s="49">
        <v>5964</v>
      </c>
      <c r="BZ32" s="49">
        <v>5964</v>
      </c>
      <c r="CA32" s="49">
        <v>10943</v>
      </c>
      <c r="CB32" s="49">
        <v>10944</v>
      </c>
      <c r="CC32" s="49">
        <v>10946</v>
      </c>
      <c r="CD32" s="49">
        <v>10947</v>
      </c>
      <c r="CE32" s="49">
        <v>9700</v>
      </c>
      <c r="CF32" s="49">
        <v>9701</v>
      </c>
      <c r="CG32" s="49">
        <v>9703</v>
      </c>
      <c r="CH32" s="49">
        <v>9704</v>
      </c>
      <c r="CI32" s="49">
        <v>8456</v>
      </c>
      <c r="CJ32" s="49">
        <v>8457</v>
      </c>
      <c r="CK32" s="49">
        <v>8459</v>
      </c>
      <c r="CL32" s="49">
        <v>8460</v>
      </c>
      <c r="CM32" s="49">
        <v>8461</v>
      </c>
      <c r="CN32" s="49">
        <v>8462</v>
      </c>
      <c r="CO32" s="49">
        <v>8463</v>
      </c>
      <c r="CP32" s="49">
        <v>8464</v>
      </c>
      <c r="CQ32" s="49"/>
      <c r="CR32" s="49"/>
      <c r="CS32" s="49"/>
    </row>
    <row r="33" spans="1:97" s="167" customFormat="1">
      <c r="A33" s="49" t="s">
        <v>242</v>
      </c>
      <c r="B33" s="49">
        <v>4.9370000000000003</v>
      </c>
      <c r="C33" s="49">
        <v>7.9260000000000002</v>
      </c>
      <c r="D33" s="49">
        <v>6.34</v>
      </c>
      <c r="E33" s="49">
        <v>4.88</v>
      </c>
      <c r="F33" s="49">
        <v>4.194</v>
      </c>
      <c r="G33" s="49">
        <v>3.5219999999999998</v>
      </c>
      <c r="H33" s="49">
        <v>2.6339999999999999</v>
      </c>
      <c r="I33" s="49">
        <v>0.85599999999999998</v>
      </c>
      <c r="J33" s="49">
        <v>0.34499999999999997</v>
      </c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>
        <v>25.634</v>
      </c>
      <c r="AD33" s="49">
        <v>25.350999999999999</v>
      </c>
      <c r="AE33" s="49">
        <v>25.06</v>
      </c>
      <c r="AF33" s="49">
        <v>24.76</v>
      </c>
      <c r="AG33" s="49">
        <v>24.45</v>
      </c>
      <c r="AH33" s="49">
        <v>24.097999999999999</v>
      </c>
      <c r="AI33" s="49">
        <v>23.734000000000002</v>
      </c>
      <c r="AJ33" s="49"/>
      <c r="AK33" s="49">
        <v>23.388999999999999</v>
      </c>
      <c r="AL33" s="49">
        <v>22.957000000000001</v>
      </c>
      <c r="AM33" s="49">
        <v>22.492999999999999</v>
      </c>
      <c r="AN33" s="49">
        <v>21.949000000000002</v>
      </c>
      <c r="AO33" s="49">
        <v>21.439</v>
      </c>
      <c r="AP33" s="49">
        <v>20.83</v>
      </c>
      <c r="AQ33" s="49">
        <v>20.236999999999998</v>
      </c>
      <c r="AR33" s="49">
        <v>19.626999999999999</v>
      </c>
      <c r="AS33" s="49">
        <v>18.998000000000001</v>
      </c>
      <c r="AT33" s="49">
        <v>18.332999999999998</v>
      </c>
      <c r="AU33" s="49">
        <v>17.684999999999999</v>
      </c>
      <c r="AV33" s="49">
        <v>17.015000000000001</v>
      </c>
      <c r="AW33" s="49">
        <v>17.5</v>
      </c>
      <c r="AX33" s="49">
        <v>16.683</v>
      </c>
      <c r="AY33" s="49">
        <v>15.842000000000001</v>
      </c>
      <c r="AZ33" s="49">
        <v>14.977</v>
      </c>
      <c r="BA33" s="49">
        <v>14</v>
      </c>
      <c r="BB33" s="49">
        <v>13</v>
      </c>
      <c r="BC33" s="49">
        <v>12</v>
      </c>
      <c r="BD33" s="49">
        <v>11</v>
      </c>
      <c r="BE33" s="49">
        <v>10</v>
      </c>
      <c r="BF33" s="49">
        <v>9</v>
      </c>
      <c r="BG33" s="49">
        <v>8</v>
      </c>
      <c r="BH33" s="49">
        <v>7</v>
      </c>
      <c r="BI33" s="49"/>
      <c r="BJ33" s="49">
        <v>4</v>
      </c>
      <c r="BK33" s="49">
        <v>3</v>
      </c>
      <c r="BL33" s="49">
        <v>1</v>
      </c>
      <c r="BM33" s="49"/>
      <c r="BN33" s="49"/>
      <c r="BO33" s="49"/>
      <c r="BP33" s="49"/>
      <c r="BQ33" s="49"/>
      <c r="BR33" s="49">
        <v>486</v>
      </c>
      <c r="BS33" s="49">
        <v>483</v>
      </c>
      <c r="BT33" s="49">
        <v>469</v>
      </c>
      <c r="BU33" s="49">
        <v>561</v>
      </c>
      <c r="BV33" s="49">
        <v>519</v>
      </c>
      <c r="BW33" s="49">
        <v>611</v>
      </c>
      <c r="BX33" s="49">
        <v>604</v>
      </c>
      <c r="BY33" s="49">
        <v>634</v>
      </c>
      <c r="BZ33" s="49">
        <v>640</v>
      </c>
      <c r="CA33" s="49">
        <v>716</v>
      </c>
      <c r="CB33" s="49">
        <v>743</v>
      </c>
      <c r="CC33" s="49">
        <v>741</v>
      </c>
      <c r="CD33" s="49">
        <v>752</v>
      </c>
      <c r="CE33" s="49">
        <v>743</v>
      </c>
      <c r="CF33" s="49">
        <v>798</v>
      </c>
      <c r="CG33" s="49">
        <v>902</v>
      </c>
      <c r="CH33" s="49">
        <v>939</v>
      </c>
      <c r="CI33" s="49">
        <v>1041</v>
      </c>
      <c r="CJ33" s="49">
        <v>1091</v>
      </c>
      <c r="CK33" s="49">
        <v>1119</v>
      </c>
      <c r="CL33" s="49">
        <v>1281</v>
      </c>
      <c r="CM33" s="49">
        <v>1304</v>
      </c>
      <c r="CN33" s="49">
        <v>1490</v>
      </c>
      <c r="CO33" s="49">
        <v>1519</v>
      </c>
      <c r="CP33" s="49">
        <v>1521</v>
      </c>
      <c r="CQ33" s="49"/>
      <c r="CR33" s="49"/>
      <c r="CS33" s="49"/>
    </row>
    <row r="34" spans="1:97" s="167" customFormat="1">
      <c r="A34" s="49" t="s">
        <v>243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>
        <v>10</v>
      </c>
      <c r="BJ34" s="49"/>
      <c r="BK34" s="49">
        <v>11</v>
      </c>
      <c r="BL34" s="49">
        <v>11</v>
      </c>
      <c r="BM34" s="49">
        <v>12</v>
      </c>
      <c r="BN34" s="49">
        <v>18</v>
      </c>
      <c r="BO34" s="49">
        <v>18</v>
      </c>
      <c r="BP34" s="49">
        <v>19</v>
      </c>
      <c r="BQ34" s="49">
        <v>20</v>
      </c>
      <c r="BR34" s="49">
        <v>21</v>
      </c>
      <c r="BS34" s="49">
        <v>22</v>
      </c>
      <c r="BT34" s="49">
        <v>22</v>
      </c>
      <c r="BU34" s="49">
        <v>22</v>
      </c>
      <c r="BV34" s="49">
        <v>23</v>
      </c>
      <c r="BW34" s="49">
        <v>38</v>
      </c>
      <c r="BX34" s="49">
        <v>40</v>
      </c>
      <c r="BY34" s="49"/>
      <c r="BZ34" s="49">
        <v>34</v>
      </c>
      <c r="CA34" s="49">
        <v>37</v>
      </c>
      <c r="CB34" s="49">
        <v>38</v>
      </c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</row>
    <row r="35" spans="1:97" s="167" customFormat="1">
      <c r="A35" s="49" t="s">
        <v>235</v>
      </c>
      <c r="B35" s="49"/>
      <c r="C35" s="49"/>
      <c r="D35" s="49"/>
      <c r="E35" s="49"/>
      <c r="F35" s="49"/>
      <c r="G35" s="49"/>
      <c r="H35" s="49">
        <v>6.38</v>
      </c>
      <c r="I35" s="49">
        <v>8.609</v>
      </c>
      <c r="J35" s="49">
        <v>8.609</v>
      </c>
      <c r="K35" s="49">
        <v>8.609</v>
      </c>
      <c r="L35" s="49">
        <v>8.609</v>
      </c>
      <c r="M35" s="49">
        <v>20.754000000000001</v>
      </c>
      <c r="N35" s="49">
        <v>20.754000000000001</v>
      </c>
      <c r="O35" s="49">
        <v>20.754000000000001</v>
      </c>
      <c r="P35" s="49">
        <v>20.754000000000001</v>
      </c>
      <c r="Q35" s="49"/>
      <c r="R35" s="49">
        <v>8.26</v>
      </c>
      <c r="S35" s="49"/>
      <c r="T35" s="49"/>
      <c r="U35" s="49"/>
      <c r="V35" s="49"/>
      <c r="W35" s="49">
        <v>31.896999999999998</v>
      </c>
      <c r="X35" s="49">
        <v>59.898000000000003</v>
      </c>
      <c r="Y35" s="49">
        <v>86.9</v>
      </c>
      <c r="Z35" s="49">
        <v>114.596</v>
      </c>
      <c r="AA35" s="49">
        <v>88.956000000000003</v>
      </c>
      <c r="AB35" s="49">
        <v>85.007000000000005</v>
      </c>
      <c r="AC35" s="49">
        <v>75.251999999999995</v>
      </c>
      <c r="AD35" s="49"/>
      <c r="AE35" s="49"/>
      <c r="AF35" s="49">
        <v>106.40600000000001</v>
      </c>
      <c r="AG35" s="49">
        <v>17.739000000000001</v>
      </c>
      <c r="AH35" s="49"/>
      <c r="AI35" s="49"/>
      <c r="AJ35" s="49"/>
      <c r="AK35" s="49">
        <v>209.12899999999999</v>
      </c>
      <c r="AL35" s="49">
        <v>153.12700000000001</v>
      </c>
      <c r="AM35" s="49">
        <v>61.728000000000002</v>
      </c>
      <c r="AN35" s="49"/>
      <c r="AO35" s="49">
        <v>333.65800000000002</v>
      </c>
      <c r="AP35" s="49">
        <v>267.34199999999998</v>
      </c>
      <c r="AQ35" s="49">
        <v>211.33699999999999</v>
      </c>
      <c r="AR35" s="49">
        <v>174.24799999999999</v>
      </c>
      <c r="AS35" s="49">
        <v>429.10199999999998</v>
      </c>
      <c r="AT35" s="49">
        <v>362.55500000000001</v>
      </c>
      <c r="AU35" s="49">
        <v>301.05</v>
      </c>
      <c r="AV35" s="49">
        <v>242.619</v>
      </c>
      <c r="AW35" s="49">
        <v>330.15199999999999</v>
      </c>
      <c r="AX35" s="49">
        <v>281.40499999999997</v>
      </c>
      <c r="AY35" s="49">
        <v>232.76499999999999</v>
      </c>
      <c r="AZ35" s="49">
        <v>210.38800000000001</v>
      </c>
      <c r="BA35" s="49">
        <v>340</v>
      </c>
      <c r="BB35" s="49">
        <v>296</v>
      </c>
      <c r="BC35" s="49">
        <v>293</v>
      </c>
      <c r="BD35" s="49">
        <v>326</v>
      </c>
      <c r="BE35" s="49">
        <v>345</v>
      </c>
      <c r="BF35" s="49">
        <v>334</v>
      </c>
      <c r="BG35" s="49">
        <v>373</v>
      </c>
      <c r="BH35" s="49">
        <v>90</v>
      </c>
      <c r="BI35" s="49">
        <v>151</v>
      </c>
      <c r="BJ35" s="49">
        <v>164</v>
      </c>
      <c r="BK35" s="49">
        <v>266</v>
      </c>
      <c r="BL35" s="49">
        <v>313</v>
      </c>
      <c r="BM35" s="49">
        <v>42</v>
      </c>
      <c r="BN35" s="49">
        <v>49</v>
      </c>
      <c r="BO35" s="49">
        <v>62</v>
      </c>
      <c r="BP35" s="49">
        <v>80</v>
      </c>
      <c r="BQ35" s="49">
        <v>86</v>
      </c>
      <c r="BR35" s="49">
        <v>70</v>
      </c>
      <c r="BS35" s="49">
        <v>77</v>
      </c>
      <c r="BT35" s="49">
        <v>82</v>
      </c>
      <c r="BU35" s="49">
        <v>89</v>
      </c>
      <c r="BV35" s="49">
        <v>99</v>
      </c>
      <c r="BW35" s="49">
        <v>394</v>
      </c>
      <c r="BX35" s="49">
        <v>405</v>
      </c>
      <c r="BY35" s="49">
        <v>404</v>
      </c>
      <c r="BZ35" s="49">
        <v>407</v>
      </c>
      <c r="CA35" s="49">
        <v>418</v>
      </c>
      <c r="CB35" s="49">
        <v>416</v>
      </c>
      <c r="CC35" s="49">
        <v>447</v>
      </c>
      <c r="CD35" s="49">
        <v>460</v>
      </c>
      <c r="CE35" s="49">
        <v>453</v>
      </c>
      <c r="CF35" s="49">
        <v>459</v>
      </c>
      <c r="CG35" s="49">
        <v>465</v>
      </c>
      <c r="CH35" s="49">
        <v>520</v>
      </c>
      <c r="CI35" s="49">
        <v>681</v>
      </c>
      <c r="CJ35" s="49">
        <v>849</v>
      </c>
      <c r="CK35" s="49">
        <v>1035</v>
      </c>
      <c r="CL35" s="49">
        <v>1287</v>
      </c>
      <c r="CM35" s="49">
        <v>1470</v>
      </c>
      <c r="CN35" s="49">
        <v>1623</v>
      </c>
      <c r="CO35" s="49">
        <v>1862</v>
      </c>
      <c r="CP35" s="49">
        <v>2086</v>
      </c>
      <c r="CQ35" s="49"/>
      <c r="CR35" s="49"/>
      <c r="CS35" s="49"/>
    </row>
    <row r="36" spans="1:97" s="167" customFormat="1">
      <c r="A36" s="49" t="s">
        <v>244</v>
      </c>
      <c r="B36" s="171"/>
      <c r="C36" s="171">
        <v>-1.1368683772161999E-13</v>
      </c>
      <c r="D36" s="171"/>
      <c r="E36" s="171"/>
      <c r="F36" s="171">
        <v>6</v>
      </c>
      <c r="G36" s="171">
        <v>4.4999999999999014</v>
      </c>
      <c r="H36" s="171">
        <v>4.5819999999999999</v>
      </c>
      <c r="I36" s="171">
        <v>4.5819999999999999</v>
      </c>
      <c r="J36" s="171">
        <v>4.5819999999999999</v>
      </c>
      <c r="K36" s="171">
        <v>3.0819999999999999</v>
      </c>
      <c r="L36" s="171">
        <v>7.4829999999999997</v>
      </c>
      <c r="M36" s="171">
        <v>8.3579999999999011</v>
      </c>
      <c r="N36" s="171"/>
      <c r="O36" s="171">
        <v>6.7329999999999997</v>
      </c>
      <c r="P36" s="171">
        <v>8.1460000000000008</v>
      </c>
      <c r="Q36" s="171">
        <v>20.036000000000001</v>
      </c>
      <c r="R36" s="171">
        <v>10.156000000000001</v>
      </c>
      <c r="S36" s="171">
        <v>24.236999999999998</v>
      </c>
      <c r="T36" s="171">
        <v>27.667000000000002</v>
      </c>
      <c r="U36" s="171">
        <v>29.536999999999999</v>
      </c>
      <c r="V36" s="171">
        <v>81.106999999999999</v>
      </c>
      <c r="W36" s="171">
        <v>63.293999999999997</v>
      </c>
      <c r="X36" s="171">
        <v>80.997</v>
      </c>
      <c r="Y36" s="171">
        <v>75.697999999999993</v>
      </c>
      <c r="Z36" s="171">
        <v>79.132000000000005</v>
      </c>
      <c r="AA36" s="171">
        <v>73.162000000000006</v>
      </c>
      <c r="AB36" s="171">
        <v>72.350999999999999</v>
      </c>
      <c r="AC36" s="171">
        <v>76.597999999999999</v>
      </c>
      <c r="AD36" s="171">
        <v>132.30500000000001</v>
      </c>
      <c r="AE36" s="171">
        <v>134.619</v>
      </c>
      <c r="AF36" s="171">
        <v>19.966999999999999</v>
      </c>
      <c r="AG36" s="171">
        <v>94.210999999999999</v>
      </c>
      <c r="AH36" s="171">
        <v>152.994</v>
      </c>
      <c r="AI36" s="171">
        <v>127.881</v>
      </c>
      <c r="AJ36" s="171"/>
      <c r="AK36" s="171">
        <v>138.584</v>
      </c>
      <c r="AL36" s="171">
        <v>131.68600000000001</v>
      </c>
      <c r="AM36" s="171">
        <v>130.435</v>
      </c>
      <c r="AN36" s="171">
        <v>206.96</v>
      </c>
      <c r="AO36" s="171">
        <v>122.149</v>
      </c>
      <c r="AP36" s="171">
        <v>185.16300000000001</v>
      </c>
      <c r="AQ36" s="171">
        <v>184.68199999999999</v>
      </c>
      <c r="AR36" s="171">
        <v>167.06399999999999</v>
      </c>
      <c r="AS36" s="171">
        <v>160.21899999999999</v>
      </c>
      <c r="AT36" s="171">
        <v>148.126</v>
      </c>
      <c r="AU36" s="171">
        <v>142.893</v>
      </c>
      <c r="AV36" s="171">
        <v>145.16499999999999</v>
      </c>
      <c r="AW36" s="171">
        <v>144.97300000000001</v>
      </c>
      <c r="AX36" s="171">
        <v>138.369</v>
      </c>
      <c r="AY36" s="171">
        <v>141.34800000000001</v>
      </c>
      <c r="AZ36" s="171">
        <v>144.745</v>
      </c>
      <c r="BA36" s="171">
        <v>149</v>
      </c>
      <c r="BB36" s="171">
        <v>152</v>
      </c>
      <c r="BC36" s="171">
        <v>154</v>
      </c>
      <c r="BD36" s="171">
        <v>111</v>
      </c>
      <c r="BE36" s="171">
        <v>108</v>
      </c>
      <c r="BF36" s="171">
        <v>113</v>
      </c>
      <c r="BG36" s="171">
        <v>121</v>
      </c>
      <c r="BH36" s="171">
        <v>123</v>
      </c>
      <c r="BI36" s="171">
        <v>116</v>
      </c>
      <c r="BJ36" s="171">
        <v>136</v>
      </c>
      <c r="BK36" s="171">
        <v>131</v>
      </c>
      <c r="BL36" s="171">
        <v>140</v>
      </c>
      <c r="BM36" s="171">
        <v>578</v>
      </c>
      <c r="BN36" s="171">
        <v>584</v>
      </c>
      <c r="BO36" s="171">
        <v>558</v>
      </c>
      <c r="BP36" s="171">
        <v>488</v>
      </c>
      <c r="BQ36" s="171">
        <v>527</v>
      </c>
      <c r="BR36" s="171">
        <v>569</v>
      </c>
      <c r="BS36" s="171">
        <v>551</v>
      </c>
      <c r="BT36" s="171">
        <v>558</v>
      </c>
      <c r="BU36" s="171">
        <v>664</v>
      </c>
      <c r="BV36" s="171">
        <v>652</v>
      </c>
      <c r="BW36" s="171">
        <v>853</v>
      </c>
      <c r="BX36" s="171">
        <v>866</v>
      </c>
      <c r="BY36" s="171">
        <v>971</v>
      </c>
      <c r="BZ36" s="171">
        <v>973</v>
      </c>
      <c r="CA36" s="171">
        <v>941</v>
      </c>
      <c r="CB36" s="171">
        <v>1081</v>
      </c>
      <c r="CC36" s="171">
        <v>1106</v>
      </c>
      <c r="CD36" s="171">
        <v>1171</v>
      </c>
      <c r="CE36" s="171">
        <v>1156</v>
      </c>
      <c r="CF36" s="171">
        <v>1326</v>
      </c>
      <c r="CG36" s="171">
        <v>1448</v>
      </c>
      <c r="CH36" s="171">
        <v>1517</v>
      </c>
      <c r="CI36" s="171">
        <v>1542</v>
      </c>
      <c r="CJ36" s="171">
        <v>1385</v>
      </c>
      <c r="CK36" s="171">
        <v>1506</v>
      </c>
      <c r="CL36" s="171">
        <v>1679</v>
      </c>
      <c r="CM36" s="171">
        <v>1866</v>
      </c>
      <c r="CN36" s="171">
        <v>2060</v>
      </c>
      <c r="CO36" s="171">
        <v>2383</v>
      </c>
      <c r="CP36" s="171">
        <v>2798</v>
      </c>
      <c r="CQ36" s="171"/>
      <c r="CR36" s="171"/>
      <c r="CS36" s="49"/>
    </row>
    <row r="37" spans="1:97" s="167" customFormat="1">
      <c r="A37" s="169" t="s">
        <v>245</v>
      </c>
      <c r="B37" s="169">
        <v>731.06600000000003</v>
      </c>
      <c r="C37" s="169">
        <v>731.62199999999996</v>
      </c>
      <c r="D37" s="169">
        <v>750.42</v>
      </c>
      <c r="E37" s="169">
        <v>684.32799999999997</v>
      </c>
      <c r="F37" s="169">
        <v>726.70299999999997</v>
      </c>
      <c r="G37" s="169">
        <v>784.26</v>
      </c>
      <c r="H37" s="169">
        <v>449.09800000000001</v>
      </c>
      <c r="I37" s="169">
        <v>348.15899999999999</v>
      </c>
      <c r="J37" s="169">
        <v>372.08699999999999</v>
      </c>
      <c r="K37" s="169">
        <v>385.72699999999998</v>
      </c>
      <c r="L37" s="169">
        <v>431.245</v>
      </c>
      <c r="M37" s="169">
        <v>450.26799999999997</v>
      </c>
      <c r="N37" s="169">
        <v>404.50700000000001</v>
      </c>
      <c r="O37" s="169">
        <v>452.98500000000001</v>
      </c>
      <c r="P37" s="169">
        <v>456.06700000000001</v>
      </c>
      <c r="Q37" s="169">
        <v>458.69499999999999</v>
      </c>
      <c r="R37" s="169">
        <v>552.80200000000002</v>
      </c>
      <c r="S37" s="169">
        <v>529.28099999999995</v>
      </c>
      <c r="T37" s="169">
        <v>685.43600000000004</v>
      </c>
      <c r="U37" s="169">
        <v>668.34400000000005</v>
      </c>
      <c r="V37" s="169">
        <v>704.97400000000005</v>
      </c>
      <c r="W37" s="169">
        <v>775.98900000000003</v>
      </c>
      <c r="X37" s="169">
        <v>997.33699999999999</v>
      </c>
      <c r="Y37" s="169">
        <v>1129.759</v>
      </c>
      <c r="Z37" s="169">
        <v>1070.28</v>
      </c>
      <c r="AA37" s="169">
        <v>1297.134</v>
      </c>
      <c r="AB37" s="169">
        <v>1161.8230000000001</v>
      </c>
      <c r="AC37" s="169">
        <v>956.07500000000005</v>
      </c>
      <c r="AD37" s="169">
        <v>859.82799999999997</v>
      </c>
      <c r="AE37" s="169">
        <v>1051</v>
      </c>
      <c r="AF37" s="169">
        <v>1039.9390000000001</v>
      </c>
      <c r="AG37" s="169">
        <v>920.77800000000002</v>
      </c>
      <c r="AH37" s="169">
        <v>942.38499999999999</v>
      </c>
      <c r="AI37" s="169">
        <v>970.75400000000002</v>
      </c>
      <c r="AJ37" s="169"/>
      <c r="AK37" s="169">
        <v>1313.7840000000001</v>
      </c>
      <c r="AL37" s="169">
        <v>1288.9359999999999</v>
      </c>
      <c r="AM37" s="169">
        <v>1174.9549999999999</v>
      </c>
      <c r="AN37" s="169">
        <v>1115.5930000000001</v>
      </c>
      <c r="AO37" s="169">
        <v>1407.204</v>
      </c>
      <c r="AP37" s="169">
        <v>1420.739</v>
      </c>
      <c r="AQ37" s="169">
        <v>1438.2159999999999</v>
      </c>
      <c r="AR37" s="169">
        <v>1352.298</v>
      </c>
      <c r="AS37" s="169">
        <v>1584.5419999999999</v>
      </c>
      <c r="AT37" s="169">
        <v>1454.5909999999999</v>
      </c>
      <c r="AU37" s="169">
        <v>1397.4190000000001</v>
      </c>
      <c r="AV37" s="169">
        <v>1390.7260000000001</v>
      </c>
      <c r="AW37" s="169">
        <v>2794.4960000000001</v>
      </c>
      <c r="AX37" s="169">
        <v>2697.6779999999999</v>
      </c>
      <c r="AY37" s="169">
        <v>2628.933</v>
      </c>
      <c r="AZ37" s="169">
        <v>2681.2759999999998</v>
      </c>
      <c r="BA37" s="169">
        <v>2783</v>
      </c>
      <c r="BB37" s="169">
        <v>2735</v>
      </c>
      <c r="BC37" s="169">
        <v>2794</v>
      </c>
      <c r="BD37" s="169">
        <v>2709</v>
      </c>
      <c r="BE37" s="169">
        <v>2901</v>
      </c>
      <c r="BF37" s="169">
        <v>2912</v>
      </c>
      <c r="BG37" s="169">
        <v>2981</v>
      </c>
      <c r="BH37" s="169">
        <v>4288</v>
      </c>
      <c r="BI37" s="169">
        <v>4079</v>
      </c>
      <c r="BJ37" s="169">
        <v>3278</v>
      </c>
      <c r="BK37" s="169">
        <v>3429</v>
      </c>
      <c r="BL37" s="169">
        <v>3478</v>
      </c>
      <c r="BM37" s="169">
        <v>3770</v>
      </c>
      <c r="BN37" s="169">
        <v>3743</v>
      </c>
      <c r="BO37" s="169">
        <v>4087</v>
      </c>
      <c r="BP37" s="169">
        <v>4182</v>
      </c>
      <c r="BQ37" s="169">
        <v>3950</v>
      </c>
      <c r="BR37" s="169">
        <v>4317</v>
      </c>
      <c r="BS37" s="169">
        <v>4439</v>
      </c>
      <c r="BT37" s="169">
        <v>4596</v>
      </c>
      <c r="BU37" s="169">
        <v>5111</v>
      </c>
      <c r="BV37" s="169">
        <v>10155</v>
      </c>
      <c r="BW37" s="169">
        <v>11266</v>
      </c>
      <c r="BX37" s="169">
        <v>11547</v>
      </c>
      <c r="BY37" s="169">
        <v>11898</v>
      </c>
      <c r="BZ37" s="169">
        <v>12022</v>
      </c>
      <c r="CA37" s="169">
        <v>17503</v>
      </c>
      <c r="CB37" s="169">
        <v>16834</v>
      </c>
      <c r="CC37" s="169">
        <v>17575</v>
      </c>
      <c r="CD37" s="169">
        <v>18892</v>
      </c>
      <c r="CE37" s="169">
        <v>19625</v>
      </c>
      <c r="CF37" s="169">
        <v>19139</v>
      </c>
      <c r="CG37" s="169">
        <v>19081</v>
      </c>
      <c r="CH37" s="169">
        <v>19940</v>
      </c>
      <c r="CI37" s="169">
        <v>22054</v>
      </c>
      <c r="CJ37" s="169">
        <v>20883</v>
      </c>
      <c r="CK37" s="169">
        <v>22750</v>
      </c>
      <c r="CL37" s="169">
        <v>27930</v>
      </c>
      <c r="CM37" s="169">
        <v>27070</v>
      </c>
      <c r="CN37" s="169">
        <v>30114</v>
      </c>
      <c r="CO37" s="169">
        <v>32274</v>
      </c>
      <c r="CP37" s="169">
        <v>41411</v>
      </c>
      <c r="CQ37" s="169"/>
      <c r="CR37" s="169"/>
      <c r="CS37" s="49"/>
    </row>
    <row r="38" spans="1:97" s="167" customFormat="1" ht="11.2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</row>
    <row r="39" spans="1:97" s="167" customFormat="1">
      <c r="A39" s="169" t="s">
        <v>246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</row>
    <row r="40" spans="1:97" s="167" customFormat="1">
      <c r="A40" s="49" t="s">
        <v>247</v>
      </c>
      <c r="B40" s="49">
        <v>478.48099999999999</v>
      </c>
      <c r="C40" s="49">
        <v>485.762</v>
      </c>
      <c r="D40" s="49">
        <v>529.99199999999996</v>
      </c>
      <c r="E40" s="49">
        <v>531.03</v>
      </c>
      <c r="F40" s="49">
        <v>539.03099999999995</v>
      </c>
      <c r="G40" s="49">
        <v>551.06700000000001</v>
      </c>
      <c r="H40" s="49">
        <v>567.18600000000004</v>
      </c>
      <c r="I40" s="49">
        <v>583.48099999999999</v>
      </c>
      <c r="J40" s="49">
        <v>598.66</v>
      </c>
      <c r="K40" s="49">
        <v>603.01400000000001</v>
      </c>
      <c r="L40" s="49">
        <v>613.32600000000002</v>
      </c>
      <c r="M40" s="49">
        <v>636.61800000000005</v>
      </c>
      <c r="N40" s="49">
        <v>672.10199999999998</v>
      </c>
      <c r="O40" s="49">
        <v>691.91399999999999</v>
      </c>
      <c r="P40" s="49">
        <v>740.66499999999996</v>
      </c>
      <c r="Q40" s="49">
        <v>965.60400000000004</v>
      </c>
      <c r="R40" s="49">
        <v>907.09699999999998</v>
      </c>
      <c r="S40" s="49">
        <v>1117.1210000000001</v>
      </c>
      <c r="T40" s="49">
        <v>1200.723</v>
      </c>
      <c r="U40" s="49">
        <v>1295.6500000000001</v>
      </c>
      <c r="V40" s="49">
        <v>1377.5129999999999</v>
      </c>
      <c r="W40" s="49">
        <v>1493.24</v>
      </c>
      <c r="X40" s="49">
        <v>1598.2909999999999</v>
      </c>
      <c r="Y40" s="49">
        <v>1654.681</v>
      </c>
      <c r="Z40" s="49">
        <v>1727.519</v>
      </c>
      <c r="AA40" s="49">
        <v>1776.6980000000001</v>
      </c>
      <c r="AB40" s="49">
        <v>1841.85</v>
      </c>
      <c r="AC40" s="49">
        <v>1889.2570000000001</v>
      </c>
      <c r="AD40" s="49">
        <v>2013.7460000000001</v>
      </c>
      <c r="AE40" s="49">
        <v>2043.84</v>
      </c>
      <c r="AF40" s="49">
        <v>2111.5059999999999</v>
      </c>
      <c r="AG40" s="49">
        <v>2219.4009999999998</v>
      </c>
      <c r="AH40" s="49">
        <v>2288.989</v>
      </c>
      <c r="AI40" s="49">
        <v>2329.4560000000001</v>
      </c>
      <c r="AJ40" s="49"/>
      <c r="AK40" s="49">
        <v>2500.5770000000002</v>
      </c>
      <c r="AL40" s="49">
        <v>2638.5309999999999</v>
      </c>
      <c r="AM40" s="49">
        <v>2725.317</v>
      </c>
      <c r="AN40" s="49">
        <v>2846.2660000000001</v>
      </c>
      <c r="AO40" s="49">
        <v>2900.8960000000002</v>
      </c>
      <c r="AP40" s="49">
        <v>2994.5070000000001</v>
      </c>
      <c r="AQ40" s="49">
        <v>3040.9789999999998</v>
      </c>
      <c r="AR40" s="49">
        <v>3114.9949999999999</v>
      </c>
      <c r="AS40" s="49">
        <v>3193.623</v>
      </c>
      <c r="AT40" s="49">
        <v>3273.23</v>
      </c>
      <c r="AU40" s="49">
        <v>3104.5010000000002</v>
      </c>
      <c r="AV40" s="49">
        <v>3407.8890000000001</v>
      </c>
      <c r="AW40" s="49">
        <v>3483.3420000000001</v>
      </c>
      <c r="AX40" s="49">
        <v>3492.14</v>
      </c>
      <c r="AY40" s="49">
        <v>3682.7420000000002</v>
      </c>
      <c r="AZ40" s="49">
        <v>3783.0990000000002</v>
      </c>
      <c r="BA40" s="49">
        <v>3855</v>
      </c>
      <c r="BB40" s="49">
        <v>3986</v>
      </c>
      <c r="BC40" s="49">
        <v>3938</v>
      </c>
      <c r="BD40" s="49">
        <v>4170</v>
      </c>
      <c r="BE40" s="49">
        <v>4170</v>
      </c>
      <c r="BF40" s="49">
        <v>4218</v>
      </c>
      <c r="BG40" s="49">
        <v>4408</v>
      </c>
      <c r="BH40" s="49">
        <v>4581</v>
      </c>
      <c r="BI40" s="49">
        <v>4708</v>
      </c>
      <c r="BJ40" s="49">
        <v>4936</v>
      </c>
      <c r="BK40" s="49">
        <v>5048</v>
      </c>
      <c r="BL40" s="49">
        <v>5219</v>
      </c>
      <c r="BM40" s="49">
        <v>5351</v>
      </c>
      <c r="BN40" s="49">
        <v>5546</v>
      </c>
      <c r="BO40" s="49">
        <v>5681</v>
      </c>
      <c r="BP40" s="49">
        <v>5891</v>
      </c>
      <c r="BQ40" s="49">
        <v>6051</v>
      </c>
      <c r="BR40" s="49">
        <v>6317</v>
      </c>
      <c r="BS40" s="49">
        <v>6543</v>
      </c>
      <c r="BT40" s="49">
        <v>6824</v>
      </c>
      <c r="BU40" s="49">
        <v>7045</v>
      </c>
      <c r="BV40" s="49">
        <v>7354</v>
      </c>
      <c r="BW40" s="49">
        <v>7828</v>
      </c>
      <c r="BX40" s="49">
        <v>8301</v>
      </c>
      <c r="BY40" s="49">
        <v>8719</v>
      </c>
      <c r="BZ40" s="49">
        <v>9280</v>
      </c>
      <c r="CA40" s="49">
        <v>9745</v>
      </c>
      <c r="CB40" s="49">
        <v>10465</v>
      </c>
      <c r="CC40" s="49">
        <v>10385</v>
      </c>
      <c r="CD40" s="49">
        <v>10623</v>
      </c>
      <c r="CE40" s="49">
        <v>10968</v>
      </c>
      <c r="CF40" s="49">
        <v>11565</v>
      </c>
      <c r="CG40" s="49">
        <v>11971</v>
      </c>
      <c r="CH40" s="49">
        <v>12453</v>
      </c>
      <c r="CI40" s="49">
        <v>12629</v>
      </c>
      <c r="CJ40" s="49">
        <v>12991</v>
      </c>
      <c r="CK40" s="49">
        <v>13109</v>
      </c>
      <c r="CL40" s="49">
        <v>12651</v>
      </c>
      <c r="CM40" s="49">
        <v>12115</v>
      </c>
      <c r="CN40" s="49">
        <v>11821</v>
      </c>
      <c r="CO40" s="49">
        <v>11237</v>
      </c>
      <c r="CP40" s="49">
        <v>11475</v>
      </c>
      <c r="CQ40" s="49"/>
      <c r="CR40" s="49"/>
      <c r="CS40" s="49"/>
    </row>
    <row r="41" spans="1:97" s="167" customFormat="1">
      <c r="A41" s="49" t="s">
        <v>248</v>
      </c>
      <c r="B41" s="49">
        <v>390.185</v>
      </c>
      <c r="C41" s="49">
        <v>395.43799999999999</v>
      </c>
      <c r="D41" s="49">
        <v>346.80200000000002</v>
      </c>
      <c r="E41" s="49">
        <v>397.73899999999998</v>
      </c>
      <c r="F41" s="49">
        <v>417.48599999999999</v>
      </c>
      <c r="G41" s="49">
        <v>441.63600000000002</v>
      </c>
      <c r="H41" s="49">
        <v>447.99200000000002</v>
      </c>
      <c r="I41" s="49">
        <v>472.15800000000002</v>
      </c>
      <c r="J41" s="49">
        <v>493.50700000000001</v>
      </c>
      <c r="K41" s="49">
        <v>498.62599999999998</v>
      </c>
      <c r="L41" s="49">
        <v>524.505</v>
      </c>
      <c r="M41" s="49">
        <v>572.51400000000001</v>
      </c>
      <c r="N41" s="49">
        <v>636.95799999999997</v>
      </c>
      <c r="O41" s="49">
        <v>711.79499999999996</v>
      </c>
      <c r="P41" s="49">
        <v>777.048</v>
      </c>
      <c r="Q41" s="49">
        <v>747.73099999999999</v>
      </c>
      <c r="R41" s="49">
        <v>965.77599999999995</v>
      </c>
      <c r="S41" s="49">
        <v>926.548</v>
      </c>
      <c r="T41" s="49">
        <v>1033.059</v>
      </c>
      <c r="U41" s="49">
        <v>1196.5650000000001</v>
      </c>
      <c r="V41" s="49">
        <v>1328.8240000000001</v>
      </c>
      <c r="W41" s="49">
        <v>1501.556</v>
      </c>
      <c r="X41" s="49">
        <v>1737.2170000000001</v>
      </c>
      <c r="Y41" s="49">
        <v>1994.21</v>
      </c>
      <c r="Z41" s="49">
        <v>2171.0149999999999</v>
      </c>
      <c r="AA41" s="49">
        <v>2050.0859999999998</v>
      </c>
      <c r="AB41" s="49">
        <v>2111.8339999999998</v>
      </c>
      <c r="AC41" s="49">
        <v>1964.1690000000001</v>
      </c>
      <c r="AD41" s="49">
        <v>1762.8309999999999</v>
      </c>
      <c r="AE41" s="49">
        <v>1657.529</v>
      </c>
      <c r="AF41" s="49">
        <v>1765.106</v>
      </c>
      <c r="AG41" s="49">
        <v>1896.182</v>
      </c>
      <c r="AH41" s="49">
        <v>2033.7760000000001</v>
      </c>
      <c r="AI41" s="49">
        <v>1892.8150000000001</v>
      </c>
      <c r="AJ41" s="49"/>
      <c r="AK41" s="49">
        <v>2149.328</v>
      </c>
      <c r="AL41" s="49">
        <v>2284.547</v>
      </c>
      <c r="AM41" s="49">
        <v>2436.12</v>
      </c>
      <c r="AN41" s="49">
        <v>2614.393</v>
      </c>
      <c r="AO41" s="49">
        <v>2730.4180000000001</v>
      </c>
      <c r="AP41" s="49">
        <v>2790.855</v>
      </c>
      <c r="AQ41" s="49">
        <v>2909.9009999999998</v>
      </c>
      <c r="AR41" s="49">
        <v>3118.9810000000002</v>
      </c>
      <c r="AS41" s="49">
        <v>3246.0880000000002</v>
      </c>
      <c r="AT41" s="49">
        <v>3277.7130000000002</v>
      </c>
      <c r="AU41" s="49">
        <v>3330.8150000000001</v>
      </c>
      <c r="AV41" s="49">
        <v>3406.154</v>
      </c>
      <c r="AW41" s="49">
        <v>3504.7420000000002</v>
      </c>
      <c r="AX41" s="49">
        <v>3594.527</v>
      </c>
      <c r="AY41" s="49">
        <v>3675.0709999999999</v>
      </c>
      <c r="AZ41" s="49">
        <v>3801.9659999999999</v>
      </c>
      <c r="BA41" s="49">
        <v>3949</v>
      </c>
      <c r="BB41" s="49">
        <v>4037</v>
      </c>
      <c r="BC41" s="49">
        <v>4010</v>
      </c>
      <c r="BD41" s="49">
        <v>4204</v>
      </c>
      <c r="BE41" s="49">
        <v>4350</v>
      </c>
      <c r="BF41" s="49">
        <v>4484</v>
      </c>
      <c r="BG41" s="49">
        <v>4675</v>
      </c>
      <c r="BH41" s="49">
        <v>5529</v>
      </c>
      <c r="BI41" s="49">
        <v>6108</v>
      </c>
      <c r="BJ41" s="49">
        <v>6506</v>
      </c>
      <c r="BK41" s="49">
        <v>7006</v>
      </c>
      <c r="BL41" s="49">
        <v>7760</v>
      </c>
      <c r="BM41" s="49">
        <v>8787</v>
      </c>
      <c r="BN41" s="49">
        <v>9948</v>
      </c>
      <c r="BO41" s="49">
        <v>10957</v>
      </c>
      <c r="BP41" s="49">
        <v>12096</v>
      </c>
      <c r="BQ41" s="49">
        <v>12565</v>
      </c>
      <c r="BR41" s="49">
        <v>12862</v>
      </c>
      <c r="BS41" s="49">
        <v>13317</v>
      </c>
      <c r="BT41" s="49">
        <v>14118</v>
      </c>
      <c r="BU41" s="49">
        <v>14971</v>
      </c>
      <c r="BV41" s="49">
        <v>15790</v>
      </c>
      <c r="BW41" s="49">
        <v>16313</v>
      </c>
      <c r="BX41" s="49">
        <v>17550</v>
      </c>
      <c r="BY41" s="49">
        <v>18908</v>
      </c>
      <c r="BZ41" s="49">
        <v>20721</v>
      </c>
      <c r="CA41" s="49">
        <v>22995</v>
      </c>
      <c r="CB41" s="49">
        <v>25359</v>
      </c>
      <c r="CC41" s="49">
        <v>16235</v>
      </c>
      <c r="CD41" s="49">
        <v>15758</v>
      </c>
      <c r="CE41" s="49">
        <v>12971</v>
      </c>
      <c r="CF41" s="49">
        <v>9905</v>
      </c>
      <c r="CG41" s="49">
        <v>10171</v>
      </c>
      <c r="CH41" s="49">
        <v>12115</v>
      </c>
      <c r="CI41" s="49">
        <v>14921</v>
      </c>
      <c r="CJ41" s="49">
        <v>20360</v>
      </c>
      <c r="CK41" s="49">
        <v>29817</v>
      </c>
      <c r="CL41" s="49">
        <v>36598</v>
      </c>
      <c r="CM41" s="49">
        <v>45961</v>
      </c>
      <c r="CN41" s="49">
        <v>53950</v>
      </c>
      <c r="CO41" s="49">
        <v>68038</v>
      </c>
      <c r="CP41" s="49">
        <v>72158</v>
      </c>
      <c r="CQ41" s="49"/>
      <c r="CR41" s="49"/>
      <c r="CS41" s="49"/>
    </row>
    <row r="42" spans="1:97" s="167" customFormat="1">
      <c r="A42" s="49" t="s">
        <v>249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>
        <v>-24.643999999999998</v>
      </c>
      <c r="M42" s="49">
        <v>-24.643999999999998</v>
      </c>
      <c r="N42" s="49">
        <v>-72.099999999999994</v>
      </c>
      <c r="O42" s="49">
        <v>-122.142</v>
      </c>
      <c r="P42" s="49">
        <v>-162.142</v>
      </c>
      <c r="Q42" s="49">
        <v>-212.142</v>
      </c>
      <c r="R42" s="49">
        <v>-262.142</v>
      </c>
      <c r="S42" s="49">
        <v>-387.12</v>
      </c>
      <c r="T42" s="49">
        <v>-387.12</v>
      </c>
      <c r="U42" s="49">
        <v>-487.12</v>
      </c>
      <c r="V42" s="49">
        <v>-612.12</v>
      </c>
      <c r="W42" s="49">
        <v>-736.50599999999997</v>
      </c>
      <c r="X42" s="49">
        <v>-861.54700000000003</v>
      </c>
      <c r="Y42" s="49">
        <v>-1039.6320000000001</v>
      </c>
      <c r="Z42" s="49">
        <v>-1163.528</v>
      </c>
      <c r="AA42" s="49">
        <v>-1163.528</v>
      </c>
      <c r="AB42" s="49">
        <v>-1463.268</v>
      </c>
      <c r="AC42" s="49">
        <v>-1463.268</v>
      </c>
      <c r="AD42" s="49">
        <v>-1463.268</v>
      </c>
      <c r="AE42" s="49">
        <v>-1463.268</v>
      </c>
      <c r="AF42" s="49">
        <v>-1463.268</v>
      </c>
      <c r="AG42" s="49">
        <v>-1463.268</v>
      </c>
      <c r="AH42" s="49">
        <v>-1473.655</v>
      </c>
      <c r="AI42" s="49">
        <v>-1473.6559999999999</v>
      </c>
      <c r="AJ42" s="49"/>
      <c r="AK42" s="49">
        <v>-1479.3920000000001</v>
      </c>
      <c r="AL42" s="49">
        <v>-1487.079</v>
      </c>
      <c r="AM42" s="49">
        <v>-1487.0930000000001</v>
      </c>
      <c r="AN42" s="49">
        <v>-1496.904</v>
      </c>
      <c r="AO42" s="49">
        <v>-1496.904</v>
      </c>
      <c r="AP42" s="49">
        <v>-1509.088</v>
      </c>
      <c r="AQ42" s="49">
        <v>-1509.087</v>
      </c>
      <c r="AR42" s="49">
        <v>-1522.7090000000001</v>
      </c>
      <c r="AS42" s="49">
        <v>-1622.7090000000001</v>
      </c>
      <c r="AT42" s="49">
        <v>-1737.0250000000001</v>
      </c>
      <c r="AU42" s="49">
        <v>-2269.7660000000001</v>
      </c>
      <c r="AV42" s="49">
        <v>-2499.9899999999998</v>
      </c>
      <c r="AW42" s="49">
        <v>-2537.2950000000001</v>
      </c>
      <c r="AX42" s="49">
        <v>-2926.7890000000002</v>
      </c>
      <c r="AY42" s="49">
        <v>-3058.1489999999999</v>
      </c>
      <c r="AZ42" s="49">
        <v>-3390.9850000000001</v>
      </c>
      <c r="BA42" s="49">
        <v>-3395</v>
      </c>
      <c r="BB42" s="49">
        <v>-3476</v>
      </c>
      <c r="BC42" s="49">
        <v>-3765</v>
      </c>
      <c r="BD42" s="49">
        <v>-3912</v>
      </c>
      <c r="BE42" s="49">
        <v>-4048</v>
      </c>
      <c r="BF42" s="49">
        <v>-4508</v>
      </c>
      <c r="BG42" s="49">
        <v>-4608</v>
      </c>
      <c r="BH42" s="49">
        <v>-4783</v>
      </c>
      <c r="BI42" s="49">
        <v>-5039</v>
      </c>
      <c r="BJ42" s="49">
        <v>-5297</v>
      </c>
      <c r="BK42" s="49">
        <v>-6070</v>
      </c>
      <c r="BL42" s="49">
        <v>-6614</v>
      </c>
      <c r="BM42" s="49">
        <v>-6650</v>
      </c>
      <c r="BN42" s="49">
        <v>-7755</v>
      </c>
      <c r="BO42" s="49">
        <v>-7821</v>
      </c>
      <c r="BP42" s="49">
        <v>-8489</v>
      </c>
      <c r="BQ42" s="49">
        <v>-9263</v>
      </c>
      <c r="BR42" s="49">
        <v>-9474</v>
      </c>
      <c r="BS42" s="49">
        <v>-9524</v>
      </c>
      <c r="BT42" s="49">
        <v>-9726</v>
      </c>
      <c r="BU42" s="49">
        <v>-9814</v>
      </c>
      <c r="BV42" s="49">
        <v>-10036</v>
      </c>
      <c r="BW42" s="49">
        <v>-10232</v>
      </c>
      <c r="BX42" s="49">
        <v>-10530</v>
      </c>
      <c r="BY42" s="49">
        <v>-10756</v>
      </c>
      <c r="BZ42" s="49">
        <v>-11242</v>
      </c>
      <c r="CA42" s="49">
        <v>-11604</v>
      </c>
      <c r="CB42" s="49">
        <v>-12038</v>
      </c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</row>
    <row r="43" spans="1:97" s="167" customFormat="1">
      <c r="A43" s="49" t="s">
        <v>250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>
        <v>1</v>
      </c>
      <c r="Y43" s="49">
        <v>1</v>
      </c>
      <c r="Z43" s="49">
        <v>1</v>
      </c>
      <c r="AA43" s="49">
        <v>1</v>
      </c>
      <c r="AB43" s="49">
        <v>1</v>
      </c>
      <c r="AC43" s="49">
        <v>1</v>
      </c>
      <c r="AD43" s="49">
        <v>1</v>
      </c>
      <c r="AE43" s="49">
        <v>1</v>
      </c>
      <c r="AF43" s="49">
        <v>1</v>
      </c>
      <c r="AG43" s="49">
        <v>1</v>
      </c>
      <c r="AH43" s="49">
        <v>1</v>
      </c>
      <c r="AI43" s="49">
        <v>1</v>
      </c>
      <c r="AJ43" s="49"/>
      <c r="AK43" s="49">
        <v>1</v>
      </c>
      <c r="AL43" s="49">
        <v>1</v>
      </c>
      <c r="AM43" s="49">
        <v>1</v>
      </c>
      <c r="AN43" s="49">
        <v>1</v>
      </c>
      <c r="AO43" s="49">
        <v>1</v>
      </c>
      <c r="AP43" s="49">
        <v>1</v>
      </c>
      <c r="AQ43" s="49">
        <v>1</v>
      </c>
      <c r="AR43" s="49">
        <v>1</v>
      </c>
      <c r="AS43" s="49">
        <v>1</v>
      </c>
      <c r="AT43" s="49">
        <v>1</v>
      </c>
      <c r="AU43" s="49">
        <v>1</v>
      </c>
      <c r="AV43" s="49">
        <v>1</v>
      </c>
      <c r="AW43" s="49">
        <v>1</v>
      </c>
      <c r="AX43" s="49">
        <v>1</v>
      </c>
      <c r="AY43" s="49">
        <v>1</v>
      </c>
      <c r="AZ43" s="49">
        <v>1</v>
      </c>
      <c r="BA43" s="49">
        <v>1</v>
      </c>
      <c r="BB43" s="49">
        <v>1</v>
      </c>
      <c r="BC43" s="49">
        <v>1</v>
      </c>
      <c r="BD43" s="49">
        <v>1</v>
      </c>
      <c r="BE43" s="49">
        <v>1</v>
      </c>
      <c r="BF43" s="49">
        <v>1</v>
      </c>
      <c r="BG43" s="49">
        <v>1</v>
      </c>
      <c r="BH43" s="49">
        <v>1</v>
      </c>
      <c r="BI43" s="49">
        <v>1</v>
      </c>
      <c r="BJ43" s="49">
        <v>1</v>
      </c>
      <c r="BK43" s="49">
        <v>1</v>
      </c>
      <c r="BL43" s="49">
        <v>1</v>
      </c>
      <c r="BM43" s="49">
        <v>1</v>
      </c>
      <c r="BN43" s="49">
        <v>1</v>
      </c>
      <c r="BO43" s="49">
        <v>1</v>
      </c>
      <c r="BP43" s="49">
        <v>1</v>
      </c>
      <c r="BQ43" s="49">
        <v>1</v>
      </c>
      <c r="BR43" s="49">
        <v>1</v>
      </c>
      <c r="BS43" s="49">
        <v>1</v>
      </c>
      <c r="BT43" s="49">
        <v>1</v>
      </c>
      <c r="BU43" s="49">
        <v>1</v>
      </c>
      <c r="BV43" s="49">
        <v>1</v>
      </c>
      <c r="BW43" s="49">
        <v>1</v>
      </c>
      <c r="BX43" s="49">
        <v>1</v>
      </c>
      <c r="BY43" s="49">
        <v>3</v>
      </c>
      <c r="BZ43" s="49">
        <v>1</v>
      </c>
      <c r="CA43" s="49">
        <v>3</v>
      </c>
      <c r="CB43" s="49">
        <v>3</v>
      </c>
      <c r="CC43" s="49">
        <v>3</v>
      </c>
      <c r="CD43" s="49">
        <v>3</v>
      </c>
      <c r="CE43" s="49">
        <v>2</v>
      </c>
      <c r="CF43" s="49">
        <v>2</v>
      </c>
      <c r="CG43" s="49">
        <v>2</v>
      </c>
      <c r="CH43" s="49">
        <v>2</v>
      </c>
      <c r="CI43" s="49">
        <v>2</v>
      </c>
      <c r="CJ43" s="49">
        <v>2</v>
      </c>
      <c r="CK43" s="49">
        <v>25</v>
      </c>
      <c r="CL43" s="49">
        <v>2</v>
      </c>
      <c r="CM43" s="49">
        <v>25</v>
      </c>
      <c r="CN43" s="49">
        <v>25</v>
      </c>
      <c r="CO43" s="49">
        <v>24</v>
      </c>
      <c r="CP43" s="49">
        <v>24</v>
      </c>
      <c r="CQ43" s="49"/>
      <c r="CR43" s="49"/>
      <c r="CS43" s="49"/>
    </row>
    <row r="44" spans="1:97" s="167" customFormat="1">
      <c r="A44" s="49" t="s">
        <v>251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</row>
    <row r="45" spans="1:97" s="167" customFormat="1">
      <c r="A45" s="49" t="s">
        <v>252</v>
      </c>
      <c r="B45" s="49">
        <v>-0.16600000000000001</v>
      </c>
      <c r="C45" s="49">
        <v>2.1789999999999998</v>
      </c>
      <c r="D45" s="49">
        <v>2.3260000000000001</v>
      </c>
      <c r="E45" s="49">
        <v>3.76</v>
      </c>
      <c r="F45" s="49">
        <v>4.1539999999999999</v>
      </c>
      <c r="G45" s="49">
        <v>2.9889999999999999</v>
      </c>
      <c r="H45" s="49">
        <v>-5.6580000000000004</v>
      </c>
      <c r="I45" s="49">
        <v>-4.6180000000000003</v>
      </c>
      <c r="J45" s="49">
        <v>-6.23</v>
      </c>
      <c r="K45" s="49">
        <v>-6.6449999999999996</v>
      </c>
      <c r="L45" s="49">
        <v>-4.944</v>
      </c>
      <c r="M45" s="49">
        <v>-6.3890000000000002</v>
      </c>
      <c r="N45" s="49">
        <v>-6.5460000000000003</v>
      </c>
      <c r="O45" s="49">
        <v>-6.508</v>
      </c>
      <c r="P45" s="49">
        <v>-6.3079999999999998</v>
      </c>
      <c r="Q45" s="49">
        <v>-5.5609999999999999</v>
      </c>
      <c r="R45" s="49">
        <v>-2.4510000000000001</v>
      </c>
      <c r="S45" s="49">
        <v>-2.3740000000000001</v>
      </c>
      <c r="T45" s="49">
        <v>-1.325</v>
      </c>
      <c r="U45" s="49">
        <v>1.4359999999999999</v>
      </c>
      <c r="V45" s="49">
        <v>1.284</v>
      </c>
      <c r="W45" s="49">
        <v>1.5860000000000001</v>
      </c>
      <c r="X45" s="49">
        <v>3.35</v>
      </c>
      <c r="Y45" s="49">
        <v>8.0340000000000007</v>
      </c>
      <c r="Z45" s="49">
        <v>1.5489999999999999</v>
      </c>
      <c r="AA45" s="49">
        <v>-0.96599999999999997</v>
      </c>
      <c r="AB45" s="49">
        <v>-3.97</v>
      </c>
      <c r="AC45" s="49">
        <v>3.8650000000000002</v>
      </c>
      <c r="AD45" s="49">
        <v>4.931</v>
      </c>
      <c r="AE45" s="49">
        <v>8.67</v>
      </c>
      <c r="AF45" s="49">
        <v>9.6449999999999996</v>
      </c>
      <c r="AG45" s="49">
        <v>12.172000000000001</v>
      </c>
      <c r="AH45" s="49">
        <v>10.872</v>
      </c>
      <c r="AI45" s="49">
        <v>11.234</v>
      </c>
      <c r="AJ45" s="49"/>
      <c r="AK45" s="49">
        <v>10.272</v>
      </c>
      <c r="AL45" s="49">
        <v>11.121</v>
      </c>
      <c r="AM45" s="49">
        <v>14.433999999999999</v>
      </c>
      <c r="AN45" s="49">
        <v>8.9969999999999999</v>
      </c>
      <c r="AO45" s="49">
        <v>10.614000000000001</v>
      </c>
      <c r="AP45" s="49">
        <v>10.446999999999999</v>
      </c>
      <c r="AQ45" s="49">
        <v>11.159000000000001</v>
      </c>
      <c r="AR45" s="49">
        <v>10.86</v>
      </c>
      <c r="AS45" s="49">
        <v>9.9809999999999999</v>
      </c>
      <c r="AT45" s="49">
        <v>10.292999999999999</v>
      </c>
      <c r="AU45" s="49">
        <v>5.8970000000000002</v>
      </c>
      <c r="AV45" s="49">
        <v>5.8620000000000001</v>
      </c>
      <c r="AW45" s="49">
        <v>4.8769999999999998</v>
      </c>
      <c r="AX45" s="49">
        <v>6.3639999999999999</v>
      </c>
      <c r="AY45" s="49">
        <v>4.3780000000000001</v>
      </c>
      <c r="AZ45" s="49">
        <v>9.7609999999999992</v>
      </c>
      <c r="BA45" s="49">
        <v>8</v>
      </c>
      <c r="BB45" s="49">
        <v>8</v>
      </c>
      <c r="BC45" s="49">
        <v>1</v>
      </c>
      <c r="BD45" s="49">
        <v>2</v>
      </c>
      <c r="BE45" s="49">
        <v>-4</v>
      </c>
      <c r="BF45" s="49">
        <v>1</v>
      </c>
      <c r="BG45" s="49">
        <v>4</v>
      </c>
      <c r="BH45" s="49">
        <v>-4</v>
      </c>
      <c r="BI45" s="49">
        <v>-16</v>
      </c>
      <c r="BJ45" s="49">
        <v>-14</v>
      </c>
      <c r="BK45" s="49">
        <v>-12</v>
      </c>
      <c r="BL45" s="49">
        <v>-14</v>
      </c>
      <c r="BM45" s="49">
        <v>-18</v>
      </c>
      <c r="BN45" s="49">
        <v>-23</v>
      </c>
      <c r="BO45" s="49">
        <v>-23</v>
      </c>
      <c r="BP45" s="49">
        <v>-24</v>
      </c>
      <c r="BQ45" s="49">
        <v>-12</v>
      </c>
      <c r="BR45" s="49">
        <v>-2</v>
      </c>
      <c r="BS45" s="49">
        <v>-1</v>
      </c>
      <c r="BT45" s="49">
        <v>-3</v>
      </c>
      <c r="BU45" s="49">
        <v>1</v>
      </c>
      <c r="BV45" s="49">
        <v>-10</v>
      </c>
      <c r="BW45" s="49">
        <v>4</v>
      </c>
      <c r="BX45" s="49">
        <v>12</v>
      </c>
      <c r="BY45" s="49">
        <v>19</v>
      </c>
      <c r="BZ45" s="49">
        <v>14</v>
      </c>
      <c r="CA45" s="49">
        <v>8</v>
      </c>
      <c r="CB45" s="49">
        <v>9</v>
      </c>
      <c r="CC45" s="49">
        <v>-11</v>
      </c>
      <c r="CD45" s="49">
        <v>-64</v>
      </c>
      <c r="CE45" s="49">
        <v>-90</v>
      </c>
      <c r="CF45" s="49">
        <v>-123</v>
      </c>
      <c r="CG45" s="49">
        <v>-43</v>
      </c>
      <c r="CH45" s="49">
        <v>-50</v>
      </c>
      <c r="CI45" s="49">
        <v>-51</v>
      </c>
      <c r="CJ45" s="49">
        <v>-88</v>
      </c>
      <c r="CK45" s="49">
        <v>27</v>
      </c>
      <c r="CL45" s="49">
        <v>-109</v>
      </c>
      <c r="CM45" s="49">
        <v>56</v>
      </c>
      <c r="CN45" s="49">
        <v>103</v>
      </c>
      <c r="CO45" s="49">
        <v>28</v>
      </c>
      <c r="CP45" s="49">
        <v>186</v>
      </c>
      <c r="CQ45" s="49"/>
      <c r="CR45" s="49"/>
      <c r="CS45" s="49"/>
    </row>
    <row r="46" spans="1:97" s="167" customFormat="1">
      <c r="A46" s="49" t="s">
        <v>253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</row>
    <row r="47" spans="1:97" s="167" customFormat="1">
      <c r="A47" s="49" t="s">
        <v>254</v>
      </c>
      <c r="B47" s="171">
        <v>0.15099999999995001</v>
      </c>
      <c r="C47" s="171">
        <v>0.15300000000013</v>
      </c>
      <c r="D47" s="171">
        <v>0.15700000000004</v>
      </c>
      <c r="E47" s="171">
        <v>0.15800000000002001</v>
      </c>
      <c r="F47" s="171">
        <v>0.15900000000011</v>
      </c>
      <c r="G47" s="171">
        <v>0.16099999999994</v>
      </c>
      <c r="H47" s="171">
        <v>0.16200000000003001</v>
      </c>
      <c r="I47" s="171">
        <v>0.16399999999998999</v>
      </c>
      <c r="J47" s="171">
        <v>0.16600000000017001</v>
      </c>
      <c r="K47" s="171">
        <v>0.16700000000014001</v>
      </c>
      <c r="L47" s="171">
        <v>0.16799999999988999</v>
      </c>
      <c r="M47" s="171">
        <v>0.16900000000009999</v>
      </c>
      <c r="N47" s="171">
        <v>0.17299999999999999</v>
      </c>
      <c r="O47" s="171">
        <v>0.17399999999998</v>
      </c>
      <c r="P47" s="171">
        <v>0.17800000000010999</v>
      </c>
      <c r="Q47" s="171">
        <v>0.36000000000012999</v>
      </c>
      <c r="R47" s="171">
        <v>0.37100000000008998</v>
      </c>
      <c r="S47" s="171">
        <v>0.37299999999981998</v>
      </c>
      <c r="T47" s="171">
        <v>0.38000000000011003</v>
      </c>
      <c r="U47" s="171">
        <v>0.38800000000015</v>
      </c>
      <c r="V47" s="171">
        <v>0.39299999999957003</v>
      </c>
      <c r="W47" s="171">
        <v>0.40199999999959002</v>
      </c>
      <c r="X47" s="171">
        <v>-0.38500000000022</v>
      </c>
      <c r="Y47" s="171">
        <v>-0.38100000000030998</v>
      </c>
      <c r="Z47" s="171">
        <v>-0.37699999999950001</v>
      </c>
      <c r="AA47" s="171">
        <v>-0.375</v>
      </c>
      <c r="AB47" s="171">
        <v>-0.37100000000008998</v>
      </c>
      <c r="AC47" s="171">
        <v>-0.37100000000008998</v>
      </c>
      <c r="AD47" s="171">
        <v>-0.36399999999957999</v>
      </c>
      <c r="AE47" s="171">
        <v>-0.36199999999963001</v>
      </c>
      <c r="AF47" s="171">
        <v>-0.35399999999935999</v>
      </c>
      <c r="AG47" s="171">
        <v>-0.34700000000020997</v>
      </c>
      <c r="AH47" s="171">
        <v>-0.33700000000090002</v>
      </c>
      <c r="AI47" s="171">
        <v>-0.33500000000003999</v>
      </c>
      <c r="AJ47" s="171"/>
      <c r="AK47" s="171">
        <v>-0.32299999999987</v>
      </c>
      <c r="AL47" s="171">
        <v>-0.31200000000081002</v>
      </c>
      <c r="AM47" s="171">
        <v>-0.3090000000002</v>
      </c>
      <c r="AN47" s="171">
        <v>-0.30200000000013</v>
      </c>
      <c r="AO47" s="171">
        <v>-0.29999999999927002</v>
      </c>
      <c r="AP47" s="171">
        <v>-0.29300000000057003</v>
      </c>
      <c r="AQ47" s="171">
        <v>-0.28699999999935</v>
      </c>
      <c r="AR47" s="171">
        <v>-0.28100000000086001</v>
      </c>
      <c r="AS47" s="171">
        <v>-0.28000000000065001</v>
      </c>
      <c r="AT47" s="171">
        <v>-0.27500000000146002</v>
      </c>
      <c r="AU47" s="171">
        <v>-0.27400000000034003</v>
      </c>
      <c r="AV47" s="171">
        <v>-0.26800000000093999</v>
      </c>
      <c r="AW47" s="171">
        <v>-0.26800000000002999</v>
      </c>
      <c r="AX47" s="171">
        <v>-0.25700000000051998</v>
      </c>
      <c r="AY47" s="171">
        <v>-0.25600000000121997</v>
      </c>
      <c r="AZ47" s="171">
        <v>-0.24800000000049999</v>
      </c>
      <c r="BA47" s="171"/>
      <c r="BB47" s="171"/>
      <c r="BC47" s="171"/>
      <c r="BD47" s="171"/>
      <c r="BE47" s="171"/>
      <c r="BF47" s="171"/>
      <c r="BG47" s="171"/>
      <c r="BH47" s="171"/>
      <c r="BI47" s="171"/>
      <c r="BJ47" s="171"/>
      <c r="BK47" s="171"/>
      <c r="BL47" s="171"/>
      <c r="BM47" s="171"/>
      <c r="BN47" s="171"/>
      <c r="BO47" s="171"/>
      <c r="BP47" s="171"/>
      <c r="BQ47" s="171"/>
      <c r="BR47" s="171"/>
      <c r="BS47" s="171"/>
      <c r="BT47" s="171"/>
      <c r="BU47" s="171"/>
      <c r="BV47" s="171"/>
      <c r="BW47" s="171"/>
      <c r="BX47" s="171"/>
      <c r="BY47" s="171"/>
      <c r="BZ47" s="171"/>
      <c r="CA47" s="171"/>
      <c r="CB47" s="171"/>
      <c r="CC47" s="171"/>
      <c r="CD47" s="171"/>
      <c r="CE47" s="171"/>
      <c r="CF47" s="171"/>
      <c r="CG47" s="171"/>
      <c r="CH47" s="171"/>
      <c r="CI47" s="171"/>
      <c r="CJ47" s="171"/>
      <c r="CK47" s="171"/>
      <c r="CL47" s="171"/>
      <c r="CM47" s="171"/>
      <c r="CN47" s="171"/>
      <c r="CO47" s="171"/>
      <c r="CP47" s="171"/>
      <c r="CQ47" s="171"/>
      <c r="CR47" s="171"/>
      <c r="CS47" s="49"/>
    </row>
    <row r="48" spans="1:97" s="167" customFormat="1">
      <c r="A48" s="169" t="s">
        <v>255</v>
      </c>
      <c r="B48" s="169">
        <v>868.65099999999995</v>
      </c>
      <c r="C48" s="169">
        <v>883.53200000000004</v>
      </c>
      <c r="D48" s="169">
        <v>879.27700000000004</v>
      </c>
      <c r="E48" s="169">
        <v>932.68700000000001</v>
      </c>
      <c r="F48" s="169">
        <v>960.83</v>
      </c>
      <c r="G48" s="169">
        <v>995.85299999999995</v>
      </c>
      <c r="H48" s="169">
        <v>1009.682</v>
      </c>
      <c r="I48" s="169">
        <v>1051.1849999999999</v>
      </c>
      <c r="J48" s="169">
        <v>1086.1030000000001</v>
      </c>
      <c r="K48" s="169">
        <v>1095.162</v>
      </c>
      <c r="L48" s="169">
        <v>1108.4110000000001</v>
      </c>
      <c r="M48" s="169">
        <v>1178.268</v>
      </c>
      <c r="N48" s="169">
        <v>1230.587</v>
      </c>
      <c r="O48" s="169">
        <v>1275.2329999999999</v>
      </c>
      <c r="P48" s="169">
        <v>1349.441</v>
      </c>
      <c r="Q48" s="169">
        <v>1495.992</v>
      </c>
      <c r="R48" s="169">
        <v>1608.6510000000001</v>
      </c>
      <c r="S48" s="169">
        <v>1654.548</v>
      </c>
      <c r="T48" s="169">
        <v>1845.7170000000001</v>
      </c>
      <c r="U48" s="169">
        <v>2006.9190000000001</v>
      </c>
      <c r="V48" s="169">
        <v>2095.8939999999998</v>
      </c>
      <c r="W48" s="169">
        <v>2260.2779999999998</v>
      </c>
      <c r="X48" s="169">
        <v>2477.9259999999999</v>
      </c>
      <c r="Y48" s="169">
        <v>2617.9119999999998</v>
      </c>
      <c r="Z48" s="169">
        <v>2737.1779999999999</v>
      </c>
      <c r="AA48" s="169">
        <v>2662.915</v>
      </c>
      <c r="AB48" s="169">
        <v>2487.0749999999998</v>
      </c>
      <c r="AC48" s="169">
        <v>2394.652</v>
      </c>
      <c r="AD48" s="169">
        <v>2318.8760000000002</v>
      </c>
      <c r="AE48" s="169">
        <v>2247.4090000000001</v>
      </c>
      <c r="AF48" s="169">
        <v>2423.6350000000002</v>
      </c>
      <c r="AG48" s="169">
        <v>2665.14</v>
      </c>
      <c r="AH48" s="169">
        <v>2860.645</v>
      </c>
      <c r="AI48" s="169">
        <v>2760.5140000000001</v>
      </c>
      <c r="AJ48" s="169"/>
      <c r="AK48" s="169">
        <v>3181.462</v>
      </c>
      <c r="AL48" s="169">
        <v>3447.808</v>
      </c>
      <c r="AM48" s="169">
        <v>3689.4690000000001</v>
      </c>
      <c r="AN48" s="169">
        <v>3973.45</v>
      </c>
      <c r="AO48" s="169">
        <v>4145.7240000000002</v>
      </c>
      <c r="AP48" s="169">
        <v>4287.4279999999999</v>
      </c>
      <c r="AQ48" s="169">
        <v>4453.665</v>
      </c>
      <c r="AR48" s="169">
        <v>4722.8459999999995</v>
      </c>
      <c r="AS48" s="169">
        <v>4827.7030000000004</v>
      </c>
      <c r="AT48" s="169">
        <v>4824.9359999999997</v>
      </c>
      <c r="AU48" s="169">
        <v>4172.1729999999998</v>
      </c>
      <c r="AV48" s="169">
        <v>4320.6469999999999</v>
      </c>
      <c r="AW48" s="169">
        <v>4456.3980000000001</v>
      </c>
      <c r="AX48" s="169">
        <v>4166.9849999999997</v>
      </c>
      <c r="AY48" s="169">
        <v>4304.7860000000001</v>
      </c>
      <c r="AZ48" s="169">
        <v>4204.5929999999998</v>
      </c>
      <c r="BA48" s="169">
        <v>4418</v>
      </c>
      <c r="BB48" s="169">
        <v>4556</v>
      </c>
      <c r="BC48" s="169">
        <v>4185</v>
      </c>
      <c r="BD48" s="169">
        <v>4465</v>
      </c>
      <c r="BE48" s="169">
        <v>4469</v>
      </c>
      <c r="BF48" s="169">
        <v>4196</v>
      </c>
      <c r="BG48" s="169">
        <v>4480</v>
      </c>
      <c r="BH48" s="169">
        <v>5324</v>
      </c>
      <c r="BI48" s="169">
        <v>5762</v>
      </c>
      <c r="BJ48" s="169">
        <v>6132</v>
      </c>
      <c r="BK48" s="169">
        <v>5973</v>
      </c>
      <c r="BL48" s="169">
        <v>6352</v>
      </c>
      <c r="BM48" s="169">
        <v>7471</v>
      </c>
      <c r="BN48" s="169">
        <v>7717</v>
      </c>
      <c r="BO48" s="169">
        <v>8795</v>
      </c>
      <c r="BP48" s="169">
        <v>9475</v>
      </c>
      <c r="BQ48" s="169">
        <v>9342</v>
      </c>
      <c r="BR48" s="169">
        <v>9704</v>
      </c>
      <c r="BS48" s="169">
        <v>10336</v>
      </c>
      <c r="BT48" s="169">
        <v>11214</v>
      </c>
      <c r="BU48" s="169">
        <v>12204</v>
      </c>
      <c r="BV48" s="169">
        <v>13099</v>
      </c>
      <c r="BW48" s="169">
        <v>13914</v>
      </c>
      <c r="BX48" s="169">
        <v>15334</v>
      </c>
      <c r="BY48" s="169">
        <v>16893</v>
      </c>
      <c r="BZ48" s="169">
        <v>18774</v>
      </c>
      <c r="CA48" s="169">
        <v>21147</v>
      </c>
      <c r="CB48" s="169">
        <v>23798</v>
      </c>
      <c r="CC48" s="169">
        <v>26612</v>
      </c>
      <c r="CD48" s="169">
        <v>26320</v>
      </c>
      <c r="CE48" s="169">
        <v>23851</v>
      </c>
      <c r="CF48" s="169">
        <v>21349</v>
      </c>
      <c r="CG48" s="169">
        <v>22101</v>
      </c>
      <c r="CH48" s="169">
        <v>24520</v>
      </c>
      <c r="CI48" s="169">
        <v>27501</v>
      </c>
      <c r="CJ48" s="169">
        <v>33265</v>
      </c>
      <c r="CK48" s="169">
        <v>42978</v>
      </c>
      <c r="CL48" s="169">
        <v>49142</v>
      </c>
      <c r="CM48" s="169">
        <v>58157</v>
      </c>
      <c r="CN48" s="169">
        <v>65899</v>
      </c>
      <c r="CO48" s="169">
        <v>79327</v>
      </c>
      <c r="CP48" s="169">
        <v>83843</v>
      </c>
      <c r="CQ48" s="169"/>
      <c r="CR48" s="169"/>
      <c r="CS48" s="49"/>
    </row>
    <row r="49" spans="1:97" s="167" customFormat="1" ht="11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</row>
    <row r="50" spans="1:97" s="167" customFormat="1" ht="11.25" customHeight="1" thickBot="1">
      <c r="A50" s="169" t="s">
        <v>256</v>
      </c>
      <c r="B50" s="172">
        <v>1599.7170000000001</v>
      </c>
      <c r="C50" s="172">
        <v>1615.154</v>
      </c>
      <c r="D50" s="172">
        <v>1629.6969999999999</v>
      </c>
      <c r="E50" s="172">
        <v>1617.0150000000001</v>
      </c>
      <c r="F50" s="172">
        <v>1687.5329999999999</v>
      </c>
      <c r="G50" s="172">
        <v>1780.1130000000001</v>
      </c>
      <c r="H50" s="172">
        <v>1458.78</v>
      </c>
      <c r="I50" s="172">
        <v>1399.3440000000001</v>
      </c>
      <c r="J50" s="172">
        <v>1458.19</v>
      </c>
      <c r="K50" s="172">
        <v>1480.8889999999999</v>
      </c>
      <c r="L50" s="172">
        <v>1539.6559999999999</v>
      </c>
      <c r="M50" s="172">
        <v>1628.5360000000001</v>
      </c>
      <c r="N50" s="172">
        <v>1635.0940000000001</v>
      </c>
      <c r="O50" s="172">
        <v>1728.2180000000001</v>
      </c>
      <c r="P50" s="172">
        <v>1805.508</v>
      </c>
      <c r="Q50" s="172">
        <v>1954.6869999999999</v>
      </c>
      <c r="R50" s="172">
        <v>2161.453</v>
      </c>
      <c r="S50" s="172">
        <v>2183.8290000000002</v>
      </c>
      <c r="T50" s="172">
        <v>2531.1529999999998</v>
      </c>
      <c r="U50" s="172">
        <v>2675.2629999999999</v>
      </c>
      <c r="V50" s="172">
        <v>2800.8679999999999</v>
      </c>
      <c r="W50" s="172">
        <v>3036.2669999999998</v>
      </c>
      <c r="X50" s="172">
        <v>3475.2629999999999</v>
      </c>
      <c r="Y50" s="172">
        <v>3747.6709999999998</v>
      </c>
      <c r="Z50" s="172">
        <v>3807.4580000000001</v>
      </c>
      <c r="AA50" s="172">
        <v>3960.049</v>
      </c>
      <c r="AB50" s="172">
        <v>3648.8980000000001</v>
      </c>
      <c r="AC50" s="172">
        <v>3350.7269999999999</v>
      </c>
      <c r="AD50" s="172">
        <v>3178.7040000000002</v>
      </c>
      <c r="AE50" s="172">
        <v>3298.4090000000001</v>
      </c>
      <c r="AF50" s="172">
        <v>3463.5740000000001</v>
      </c>
      <c r="AG50" s="172">
        <v>3585.9180000000001</v>
      </c>
      <c r="AH50" s="172">
        <v>3803.03</v>
      </c>
      <c r="AI50" s="172">
        <v>3731.268</v>
      </c>
      <c r="AJ50" s="172"/>
      <c r="AK50" s="172">
        <v>4495.2460000000001</v>
      </c>
      <c r="AL50" s="172">
        <v>4736.7439999999997</v>
      </c>
      <c r="AM50" s="172">
        <v>4864.424</v>
      </c>
      <c r="AN50" s="172">
        <v>5089.0429999999997</v>
      </c>
      <c r="AO50" s="172">
        <v>5552.9279999999999</v>
      </c>
      <c r="AP50" s="172">
        <v>5708.1670000000004</v>
      </c>
      <c r="AQ50" s="172">
        <v>5891.8810000000003</v>
      </c>
      <c r="AR50" s="172">
        <v>6075.1440000000002</v>
      </c>
      <c r="AS50" s="172">
        <v>6412.2449999999999</v>
      </c>
      <c r="AT50" s="172">
        <v>6279.527</v>
      </c>
      <c r="AU50" s="172">
        <v>5569.5919999999996</v>
      </c>
      <c r="AV50" s="172">
        <v>5711.3729999999996</v>
      </c>
      <c r="AW50" s="172">
        <v>7250.8940000000002</v>
      </c>
      <c r="AX50" s="172">
        <v>6864.6629999999996</v>
      </c>
      <c r="AY50" s="172">
        <v>6933.7190000000001</v>
      </c>
      <c r="AZ50" s="172">
        <v>6885.8689999999997</v>
      </c>
      <c r="BA50" s="172">
        <v>7201</v>
      </c>
      <c r="BB50" s="172">
        <v>7291</v>
      </c>
      <c r="BC50" s="172">
        <v>6979</v>
      </c>
      <c r="BD50" s="172">
        <v>7174</v>
      </c>
      <c r="BE50" s="172">
        <v>7370</v>
      </c>
      <c r="BF50" s="172">
        <v>7108</v>
      </c>
      <c r="BG50" s="172">
        <v>7461</v>
      </c>
      <c r="BH50" s="172">
        <v>9612</v>
      </c>
      <c r="BI50" s="172">
        <v>9841</v>
      </c>
      <c r="BJ50" s="172">
        <v>9410</v>
      </c>
      <c r="BK50" s="172">
        <v>9402</v>
      </c>
      <c r="BL50" s="172">
        <v>9830</v>
      </c>
      <c r="BM50" s="172">
        <v>11241</v>
      </c>
      <c r="BN50" s="172">
        <v>11460</v>
      </c>
      <c r="BO50" s="172">
        <v>12882</v>
      </c>
      <c r="BP50" s="172">
        <v>13657</v>
      </c>
      <c r="BQ50" s="172">
        <v>13292</v>
      </c>
      <c r="BR50" s="172">
        <v>14021</v>
      </c>
      <c r="BS50" s="172">
        <v>14775</v>
      </c>
      <c r="BT50" s="172">
        <v>15810</v>
      </c>
      <c r="BU50" s="172">
        <v>17315</v>
      </c>
      <c r="BV50" s="172">
        <v>23254</v>
      </c>
      <c r="BW50" s="172">
        <v>25180</v>
      </c>
      <c r="BX50" s="172">
        <v>26881</v>
      </c>
      <c r="BY50" s="172">
        <v>28791</v>
      </c>
      <c r="BZ50" s="172">
        <v>30796</v>
      </c>
      <c r="CA50" s="172">
        <v>38650</v>
      </c>
      <c r="CB50" s="172">
        <v>40632</v>
      </c>
      <c r="CC50" s="172">
        <v>44187</v>
      </c>
      <c r="CD50" s="172">
        <v>45212</v>
      </c>
      <c r="CE50" s="172">
        <v>43476</v>
      </c>
      <c r="CF50" s="172">
        <v>40488</v>
      </c>
      <c r="CG50" s="172">
        <v>41182</v>
      </c>
      <c r="CH50" s="172">
        <v>44460</v>
      </c>
      <c r="CI50" s="172">
        <v>49555</v>
      </c>
      <c r="CJ50" s="172">
        <v>54148</v>
      </c>
      <c r="CK50" s="172">
        <v>65728</v>
      </c>
      <c r="CL50" s="172">
        <v>77072</v>
      </c>
      <c r="CM50" s="172">
        <v>85227</v>
      </c>
      <c r="CN50" s="172">
        <v>96013</v>
      </c>
      <c r="CO50" s="172">
        <v>111601</v>
      </c>
      <c r="CP50" s="172">
        <v>125254</v>
      </c>
      <c r="CQ50" s="172"/>
      <c r="CR50" s="172"/>
      <c r="CS50" s="49"/>
    </row>
    <row r="51" spans="1:97" s="167" customFormat="1" ht="12" customHeight="1" thickTop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</row>
    <row r="52" spans="1:97" s="167" customFormat="1" ht="11.25" customHeight="1">
      <c r="A52" s="169" t="s">
        <v>257</v>
      </c>
      <c r="B52" s="49">
        <v>18227.774000000001</v>
      </c>
      <c r="C52" s="49">
        <v>18354.089</v>
      </c>
      <c r="D52" s="49">
        <v>18909.222000000002</v>
      </c>
      <c r="E52" s="49">
        <v>18925.34</v>
      </c>
      <c r="F52" s="49">
        <v>19074.827000000001</v>
      </c>
      <c r="G52" s="49">
        <v>19261.771000000001</v>
      </c>
      <c r="H52" s="49">
        <v>19451.005000000001</v>
      </c>
      <c r="I52" s="49">
        <v>19687.651000000002</v>
      </c>
      <c r="J52" s="49">
        <v>19901.769</v>
      </c>
      <c r="K52" s="49">
        <v>19974.957999999999</v>
      </c>
      <c r="L52" s="49">
        <v>19935.580999999998</v>
      </c>
      <c r="M52" s="49">
        <v>20040.724999999999</v>
      </c>
      <c r="N52" s="49">
        <v>20264.871999999999</v>
      </c>
      <c r="O52" s="49">
        <v>20232.932000000001</v>
      </c>
      <c r="P52" s="49">
        <v>20530.881000000001</v>
      </c>
      <c r="Q52" s="49">
        <v>20567.010999999999</v>
      </c>
      <c r="R52" s="49">
        <v>21140.212</v>
      </c>
      <c r="S52" s="49">
        <v>21322.038</v>
      </c>
      <c r="T52" s="49">
        <v>21322.038</v>
      </c>
      <c r="U52" s="49">
        <v>21648.486000000001</v>
      </c>
      <c r="V52" s="49">
        <v>21763.922999999999</v>
      </c>
      <c r="W52" s="49">
        <v>21941.522000000001</v>
      </c>
      <c r="X52" s="49">
        <v>22222.858</v>
      </c>
      <c r="Y52" s="49">
        <v>22284.103999999999</v>
      </c>
      <c r="Z52" s="49">
        <v>22189.347000000002</v>
      </c>
      <c r="AA52" s="49">
        <v>22189.347000000002</v>
      </c>
      <c r="AB52" s="49">
        <v>21482.523000000001</v>
      </c>
      <c r="AC52" s="49">
        <v>21698.142</v>
      </c>
      <c r="AD52" s="49">
        <v>21848</v>
      </c>
      <c r="AE52" s="49">
        <v>21912</v>
      </c>
      <c r="AF52" s="49">
        <v>22196</v>
      </c>
      <c r="AG52" s="49">
        <v>22458.633999999998</v>
      </c>
      <c r="AH52" s="49">
        <v>22888</v>
      </c>
      <c r="AI52" s="49">
        <v>22960</v>
      </c>
      <c r="AJ52" s="49">
        <v>23240</v>
      </c>
      <c r="AK52" s="49">
        <v>23542.227999999999</v>
      </c>
      <c r="AL52" s="49">
        <v>24011.536</v>
      </c>
      <c r="AM52" s="49">
        <v>24149.095000000001</v>
      </c>
      <c r="AN52" s="49">
        <v>24426.136999999999</v>
      </c>
      <c r="AO52" s="49">
        <v>24487.655999999999</v>
      </c>
      <c r="AP52" s="49">
        <v>24752.164000000001</v>
      </c>
      <c r="AQ52" s="49">
        <v>24779.05</v>
      </c>
      <c r="AR52" s="49">
        <v>24994.031999999999</v>
      </c>
      <c r="AS52" s="49">
        <v>24670.244999999999</v>
      </c>
      <c r="AT52" s="49">
        <v>23116.655999999999</v>
      </c>
      <c r="AU52" s="49">
        <v>23143.921999999999</v>
      </c>
      <c r="AV52" s="49">
        <v>22741.424999999999</v>
      </c>
      <c r="AW52" s="49">
        <v>22719.868999999999</v>
      </c>
      <c r="AX52" s="49">
        <v>22318.651000000002</v>
      </c>
      <c r="AY52" s="49">
        <v>21676.603999999999</v>
      </c>
      <c r="AZ52" s="49">
        <v>21741.475999999999</v>
      </c>
      <c r="BA52" s="49">
        <v>21796.52</v>
      </c>
      <c r="BB52" s="49">
        <v>21520</v>
      </c>
      <c r="BC52" s="49">
        <v>21560</v>
      </c>
      <c r="BD52" s="49">
        <v>21520</v>
      </c>
      <c r="BE52" s="49">
        <v>21520</v>
      </c>
      <c r="BF52" s="49">
        <v>21360</v>
      </c>
      <c r="BG52" s="49">
        <v>21400</v>
      </c>
      <c r="BH52" s="49">
        <v>21560</v>
      </c>
      <c r="BI52" s="49">
        <v>23400</v>
      </c>
      <c r="BJ52" s="49">
        <v>23800</v>
      </c>
      <c r="BK52" s="49">
        <v>24000</v>
      </c>
      <c r="BL52" s="49">
        <v>24240</v>
      </c>
      <c r="BM52" s="49">
        <v>24240</v>
      </c>
      <c r="BN52" s="49">
        <v>24280</v>
      </c>
      <c r="BO52" s="49">
        <v>24320</v>
      </c>
      <c r="BP52" s="49">
        <v>24400</v>
      </c>
      <c r="BQ52" s="49">
        <v>24240</v>
      </c>
      <c r="BR52" s="49">
        <v>24360</v>
      </c>
      <c r="BS52" s="49">
        <v>24360</v>
      </c>
      <c r="BT52" s="49">
        <v>24480</v>
      </c>
      <c r="BU52" s="49">
        <v>24499.422999999999</v>
      </c>
      <c r="BV52" s="49">
        <v>24600</v>
      </c>
      <c r="BW52" s="49">
        <v>24680</v>
      </c>
      <c r="BX52" s="49">
        <v>24760</v>
      </c>
      <c r="BY52" s="49">
        <v>24800</v>
      </c>
      <c r="BZ52" s="49">
        <v>24920</v>
      </c>
      <c r="CA52" s="49">
        <v>24960</v>
      </c>
      <c r="CB52" s="49">
        <v>25020</v>
      </c>
      <c r="CC52" s="49">
        <v>25060</v>
      </c>
      <c r="CD52" s="49">
        <v>25040</v>
      </c>
      <c r="CE52" s="49">
        <v>24890</v>
      </c>
      <c r="CF52" s="49">
        <v>24680</v>
      </c>
      <c r="CG52" s="49">
        <v>24661.366000000002</v>
      </c>
      <c r="CH52" s="49">
        <v>24730</v>
      </c>
      <c r="CI52" s="49">
        <v>24690</v>
      </c>
      <c r="CJ52" s="49">
        <v>24660</v>
      </c>
      <c r="CK52" s="49">
        <v>24640</v>
      </c>
      <c r="CL52" s="49">
        <v>24598.342000000001</v>
      </c>
      <c r="CM52" s="49">
        <v>24562</v>
      </c>
      <c r="CN52" s="49">
        <v>24508</v>
      </c>
      <c r="CO52" s="49">
        <v>24477</v>
      </c>
      <c r="CP52" s="49">
        <v>24387.557000000001</v>
      </c>
      <c r="CQ52" s="49"/>
      <c r="CR52" s="49"/>
      <c r="CS52" s="49"/>
    </row>
    <row r="53" spans="1:97" s="167" customForma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</row>
    <row r="54" spans="1:97" s="167" customFormat="1" ht="11.25" customHeight="1">
      <c r="A54" s="169" t="s">
        <v>258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</row>
    <row r="55" spans="1:97" s="167" customFormat="1">
      <c r="A55" s="49" t="s">
        <v>259</v>
      </c>
      <c r="B55" s="173">
        <f t="shared" ref="B55:BM55" si="0">B48</f>
        <v>868.65099999999995</v>
      </c>
      <c r="C55" s="173">
        <f t="shared" si="0"/>
        <v>883.53200000000004</v>
      </c>
      <c r="D55" s="173">
        <f t="shared" si="0"/>
        <v>879.27700000000004</v>
      </c>
      <c r="E55" s="173">
        <f t="shared" si="0"/>
        <v>932.68700000000001</v>
      </c>
      <c r="F55" s="173">
        <f t="shared" si="0"/>
        <v>960.83</v>
      </c>
      <c r="G55" s="173">
        <f t="shared" si="0"/>
        <v>995.85299999999995</v>
      </c>
      <c r="H55" s="173">
        <f t="shared" si="0"/>
        <v>1009.682</v>
      </c>
      <c r="I55" s="173">
        <f t="shared" si="0"/>
        <v>1051.1849999999999</v>
      </c>
      <c r="J55" s="173">
        <f t="shared" si="0"/>
        <v>1086.1030000000001</v>
      </c>
      <c r="K55" s="173">
        <f t="shared" si="0"/>
        <v>1095.162</v>
      </c>
      <c r="L55" s="173">
        <f t="shared" si="0"/>
        <v>1108.4110000000001</v>
      </c>
      <c r="M55" s="173">
        <f t="shared" si="0"/>
        <v>1178.268</v>
      </c>
      <c r="N55" s="173">
        <f t="shared" si="0"/>
        <v>1230.587</v>
      </c>
      <c r="O55" s="173">
        <f t="shared" si="0"/>
        <v>1275.2329999999999</v>
      </c>
      <c r="P55" s="173">
        <f t="shared" si="0"/>
        <v>1349.441</v>
      </c>
      <c r="Q55" s="173">
        <f t="shared" si="0"/>
        <v>1495.992</v>
      </c>
      <c r="R55" s="173">
        <f t="shared" si="0"/>
        <v>1608.6510000000001</v>
      </c>
      <c r="S55" s="173">
        <f t="shared" si="0"/>
        <v>1654.548</v>
      </c>
      <c r="T55" s="173">
        <f t="shared" si="0"/>
        <v>1845.7170000000001</v>
      </c>
      <c r="U55" s="173">
        <f t="shared" si="0"/>
        <v>2006.9190000000001</v>
      </c>
      <c r="V55" s="173">
        <f t="shared" si="0"/>
        <v>2095.8939999999998</v>
      </c>
      <c r="W55" s="173">
        <f t="shared" si="0"/>
        <v>2260.2779999999998</v>
      </c>
      <c r="X55" s="173">
        <f t="shared" si="0"/>
        <v>2477.9259999999999</v>
      </c>
      <c r="Y55" s="173">
        <f t="shared" si="0"/>
        <v>2617.9119999999998</v>
      </c>
      <c r="Z55" s="173">
        <f t="shared" si="0"/>
        <v>2737.1779999999999</v>
      </c>
      <c r="AA55" s="173">
        <f t="shared" si="0"/>
        <v>2662.915</v>
      </c>
      <c r="AB55" s="173">
        <f t="shared" si="0"/>
        <v>2487.0749999999998</v>
      </c>
      <c r="AC55" s="173">
        <f t="shared" si="0"/>
        <v>2394.652</v>
      </c>
      <c r="AD55" s="173">
        <f t="shared" si="0"/>
        <v>2318.8760000000002</v>
      </c>
      <c r="AE55" s="173">
        <f t="shared" si="0"/>
        <v>2247.4090000000001</v>
      </c>
      <c r="AF55" s="173">
        <f t="shared" si="0"/>
        <v>2423.6350000000002</v>
      </c>
      <c r="AG55" s="173">
        <f t="shared" si="0"/>
        <v>2665.14</v>
      </c>
      <c r="AH55" s="173">
        <f t="shared" si="0"/>
        <v>2860.645</v>
      </c>
      <c r="AI55" s="173">
        <f t="shared" si="0"/>
        <v>2760.5140000000001</v>
      </c>
      <c r="AJ55" s="173">
        <f t="shared" si="0"/>
        <v>0</v>
      </c>
      <c r="AK55" s="173">
        <f t="shared" si="0"/>
        <v>3181.462</v>
      </c>
      <c r="AL55" s="173">
        <f t="shared" si="0"/>
        <v>3447.808</v>
      </c>
      <c r="AM55" s="173">
        <f t="shared" si="0"/>
        <v>3689.4690000000001</v>
      </c>
      <c r="AN55" s="173">
        <f t="shared" si="0"/>
        <v>3973.45</v>
      </c>
      <c r="AO55" s="173">
        <f t="shared" si="0"/>
        <v>4145.7240000000002</v>
      </c>
      <c r="AP55" s="173">
        <f t="shared" si="0"/>
        <v>4287.4279999999999</v>
      </c>
      <c r="AQ55" s="173">
        <f t="shared" si="0"/>
        <v>4453.665</v>
      </c>
      <c r="AR55" s="173">
        <f t="shared" si="0"/>
        <v>4722.8459999999995</v>
      </c>
      <c r="AS55" s="173">
        <f t="shared" si="0"/>
        <v>4827.7030000000004</v>
      </c>
      <c r="AT55" s="173">
        <f t="shared" si="0"/>
        <v>4824.9359999999997</v>
      </c>
      <c r="AU55" s="173">
        <f t="shared" si="0"/>
        <v>4172.1729999999998</v>
      </c>
      <c r="AV55" s="173">
        <f t="shared" si="0"/>
        <v>4320.6469999999999</v>
      </c>
      <c r="AW55" s="173">
        <f t="shared" si="0"/>
        <v>4456.3980000000001</v>
      </c>
      <c r="AX55" s="173">
        <f t="shared" si="0"/>
        <v>4166.9849999999997</v>
      </c>
      <c r="AY55" s="173">
        <f t="shared" si="0"/>
        <v>4304.7860000000001</v>
      </c>
      <c r="AZ55" s="173">
        <f t="shared" si="0"/>
        <v>4204.5929999999998</v>
      </c>
      <c r="BA55" s="173">
        <f t="shared" si="0"/>
        <v>4418</v>
      </c>
      <c r="BB55" s="173">
        <f t="shared" si="0"/>
        <v>4556</v>
      </c>
      <c r="BC55" s="173">
        <f t="shared" si="0"/>
        <v>4185</v>
      </c>
      <c r="BD55" s="173">
        <f t="shared" si="0"/>
        <v>4465</v>
      </c>
      <c r="BE55" s="173">
        <f t="shared" si="0"/>
        <v>4469</v>
      </c>
      <c r="BF55" s="173">
        <f t="shared" si="0"/>
        <v>4196</v>
      </c>
      <c r="BG55" s="173">
        <f t="shared" si="0"/>
        <v>4480</v>
      </c>
      <c r="BH55" s="173">
        <f t="shared" si="0"/>
        <v>5324</v>
      </c>
      <c r="BI55" s="173">
        <f t="shared" si="0"/>
        <v>5762</v>
      </c>
      <c r="BJ55" s="173">
        <f t="shared" si="0"/>
        <v>6132</v>
      </c>
      <c r="BK55" s="173">
        <f t="shared" si="0"/>
        <v>5973</v>
      </c>
      <c r="BL55" s="173">
        <f t="shared" si="0"/>
        <v>6352</v>
      </c>
      <c r="BM55" s="173">
        <f t="shared" si="0"/>
        <v>7471</v>
      </c>
      <c r="BN55" s="173">
        <f t="shared" ref="BN55:CR55" si="1">BN48</f>
        <v>7717</v>
      </c>
      <c r="BO55" s="173">
        <f t="shared" si="1"/>
        <v>8795</v>
      </c>
      <c r="BP55" s="173">
        <f t="shared" si="1"/>
        <v>9475</v>
      </c>
      <c r="BQ55" s="173">
        <f t="shared" si="1"/>
        <v>9342</v>
      </c>
      <c r="BR55" s="173">
        <f t="shared" si="1"/>
        <v>9704</v>
      </c>
      <c r="BS55" s="173">
        <f t="shared" si="1"/>
        <v>10336</v>
      </c>
      <c r="BT55" s="173">
        <f t="shared" si="1"/>
        <v>11214</v>
      </c>
      <c r="BU55" s="173">
        <f t="shared" si="1"/>
        <v>12204</v>
      </c>
      <c r="BV55" s="173">
        <f t="shared" si="1"/>
        <v>13099</v>
      </c>
      <c r="BW55" s="173">
        <f t="shared" si="1"/>
        <v>13914</v>
      </c>
      <c r="BX55" s="173">
        <f t="shared" si="1"/>
        <v>15334</v>
      </c>
      <c r="BY55" s="173">
        <f t="shared" si="1"/>
        <v>16893</v>
      </c>
      <c r="BZ55" s="173">
        <f t="shared" si="1"/>
        <v>18774</v>
      </c>
      <c r="CA55" s="173">
        <f t="shared" si="1"/>
        <v>21147</v>
      </c>
      <c r="CB55" s="173">
        <f t="shared" si="1"/>
        <v>23798</v>
      </c>
      <c r="CC55" s="173">
        <f t="shared" si="1"/>
        <v>26612</v>
      </c>
      <c r="CD55" s="173">
        <f t="shared" si="1"/>
        <v>26320</v>
      </c>
      <c r="CE55" s="173">
        <f t="shared" si="1"/>
        <v>23851</v>
      </c>
      <c r="CF55" s="173">
        <f t="shared" si="1"/>
        <v>21349</v>
      </c>
      <c r="CG55" s="173">
        <f t="shared" si="1"/>
        <v>22101</v>
      </c>
      <c r="CH55" s="173">
        <f t="shared" si="1"/>
        <v>24520</v>
      </c>
      <c r="CI55" s="173">
        <f t="shared" si="1"/>
        <v>27501</v>
      </c>
      <c r="CJ55" s="173">
        <f t="shared" si="1"/>
        <v>33265</v>
      </c>
      <c r="CK55" s="173">
        <f t="shared" si="1"/>
        <v>42978</v>
      </c>
      <c r="CL55" s="173">
        <f t="shared" si="1"/>
        <v>49142</v>
      </c>
      <c r="CM55" s="173">
        <f t="shared" si="1"/>
        <v>58157</v>
      </c>
      <c r="CN55" s="173">
        <f t="shared" si="1"/>
        <v>65899</v>
      </c>
      <c r="CO55" s="173">
        <f t="shared" si="1"/>
        <v>79327</v>
      </c>
      <c r="CP55" s="173">
        <f t="shared" si="1"/>
        <v>83843</v>
      </c>
      <c r="CQ55" s="173">
        <f t="shared" si="1"/>
        <v>0</v>
      </c>
      <c r="CR55" s="173">
        <f t="shared" si="1"/>
        <v>0</v>
      </c>
      <c r="CS55" s="49"/>
    </row>
    <row r="56" spans="1:97" s="167" customFormat="1">
      <c r="A56" s="49" t="s">
        <v>260</v>
      </c>
      <c r="B56" s="173">
        <f t="shared" ref="B56:BM56" si="2">B32+B33</f>
        <v>304.93700000000001</v>
      </c>
      <c r="C56" s="173">
        <f t="shared" si="2"/>
        <v>307.92599999999999</v>
      </c>
      <c r="D56" s="173">
        <f t="shared" si="2"/>
        <v>306.33999999999997</v>
      </c>
      <c r="E56" s="173">
        <f t="shared" si="2"/>
        <v>304.88</v>
      </c>
      <c r="F56" s="173">
        <f t="shared" si="2"/>
        <v>304.19400000000002</v>
      </c>
      <c r="G56" s="173">
        <f t="shared" si="2"/>
        <v>303.52199999999999</v>
      </c>
      <c r="H56" s="173">
        <f t="shared" si="2"/>
        <v>2.6339999999999999</v>
      </c>
      <c r="I56" s="173">
        <f t="shared" si="2"/>
        <v>0.85599999999999998</v>
      </c>
      <c r="J56" s="173">
        <f t="shared" si="2"/>
        <v>0.34499999999999997</v>
      </c>
      <c r="K56" s="173">
        <f t="shared" si="2"/>
        <v>0</v>
      </c>
      <c r="L56" s="173">
        <f t="shared" si="2"/>
        <v>0</v>
      </c>
      <c r="M56" s="173">
        <f t="shared" si="2"/>
        <v>0</v>
      </c>
      <c r="N56" s="173">
        <f t="shared" si="2"/>
        <v>8.2330000000000005</v>
      </c>
      <c r="O56" s="173">
        <f t="shared" si="2"/>
        <v>0</v>
      </c>
      <c r="P56" s="173">
        <f t="shared" si="2"/>
        <v>0</v>
      </c>
      <c r="Q56" s="173">
        <f t="shared" si="2"/>
        <v>0</v>
      </c>
      <c r="R56" s="173">
        <f t="shared" si="2"/>
        <v>0</v>
      </c>
      <c r="S56" s="173">
        <f t="shared" si="2"/>
        <v>0</v>
      </c>
      <c r="T56" s="173">
        <f t="shared" si="2"/>
        <v>0</v>
      </c>
      <c r="U56" s="173">
        <f t="shared" si="2"/>
        <v>0</v>
      </c>
      <c r="V56" s="173">
        <f t="shared" si="2"/>
        <v>0</v>
      </c>
      <c r="W56" s="173">
        <f t="shared" si="2"/>
        <v>0</v>
      </c>
      <c r="X56" s="173">
        <f t="shared" si="2"/>
        <v>0</v>
      </c>
      <c r="Y56" s="173">
        <f t="shared" si="2"/>
        <v>0</v>
      </c>
      <c r="Z56" s="173">
        <f t="shared" si="2"/>
        <v>0</v>
      </c>
      <c r="AA56" s="173">
        <f t="shared" si="2"/>
        <v>0</v>
      </c>
      <c r="AB56" s="173">
        <f t="shared" si="2"/>
        <v>0</v>
      </c>
      <c r="AC56" s="173">
        <f t="shared" si="2"/>
        <v>25.634</v>
      </c>
      <c r="AD56" s="173">
        <f t="shared" si="2"/>
        <v>25.350999999999999</v>
      </c>
      <c r="AE56" s="173">
        <f t="shared" si="2"/>
        <v>25.06</v>
      </c>
      <c r="AF56" s="173">
        <f t="shared" si="2"/>
        <v>24.76</v>
      </c>
      <c r="AG56" s="173">
        <f t="shared" si="2"/>
        <v>24.45</v>
      </c>
      <c r="AH56" s="173">
        <f t="shared" si="2"/>
        <v>24.097999999999999</v>
      </c>
      <c r="AI56" s="173">
        <f t="shared" si="2"/>
        <v>23.734000000000002</v>
      </c>
      <c r="AJ56" s="173">
        <f t="shared" si="2"/>
        <v>0</v>
      </c>
      <c r="AK56" s="173">
        <f t="shared" si="2"/>
        <v>23.388999999999999</v>
      </c>
      <c r="AL56" s="173">
        <f t="shared" si="2"/>
        <v>22.957000000000001</v>
      </c>
      <c r="AM56" s="173">
        <f t="shared" si="2"/>
        <v>22.492999999999999</v>
      </c>
      <c r="AN56" s="173">
        <f t="shared" si="2"/>
        <v>21.949000000000002</v>
      </c>
      <c r="AO56" s="173">
        <f t="shared" si="2"/>
        <v>21.439</v>
      </c>
      <c r="AP56" s="173">
        <f t="shared" si="2"/>
        <v>20.83</v>
      </c>
      <c r="AQ56" s="173">
        <f t="shared" si="2"/>
        <v>20.236999999999998</v>
      </c>
      <c r="AR56" s="173">
        <f t="shared" si="2"/>
        <v>19.626999999999999</v>
      </c>
      <c r="AS56" s="173">
        <f t="shared" si="2"/>
        <v>18.998000000000001</v>
      </c>
      <c r="AT56" s="173">
        <f t="shared" si="2"/>
        <v>18.332999999999998</v>
      </c>
      <c r="AU56" s="173">
        <f t="shared" si="2"/>
        <v>17.684999999999999</v>
      </c>
      <c r="AV56" s="173">
        <f t="shared" si="2"/>
        <v>17.015000000000001</v>
      </c>
      <c r="AW56" s="173">
        <f t="shared" si="2"/>
        <v>1373.875</v>
      </c>
      <c r="AX56" s="173">
        <f t="shared" si="2"/>
        <v>1379.9590000000001</v>
      </c>
      <c r="AY56" s="173">
        <f t="shared" si="2"/>
        <v>1386.0910000000001</v>
      </c>
      <c r="AZ56" s="173">
        <f t="shared" si="2"/>
        <v>1392.2360000000001</v>
      </c>
      <c r="BA56" s="173">
        <f t="shared" si="2"/>
        <v>1398</v>
      </c>
      <c r="BB56" s="173">
        <f t="shared" si="2"/>
        <v>1404</v>
      </c>
      <c r="BC56" s="173">
        <f t="shared" si="2"/>
        <v>1411</v>
      </c>
      <c r="BD56" s="173">
        <f t="shared" si="2"/>
        <v>1417</v>
      </c>
      <c r="BE56" s="173">
        <f t="shared" si="2"/>
        <v>10</v>
      </c>
      <c r="BF56" s="173">
        <f t="shared" si="2"/>
        <v>9</v>
      </c>
      <c r="BG56" s="173">
        <f t="shared" si="2"/>
        <v>8</v>
      </c>
      <c r="BH56" s="173">
        <f t="shared" si="2"/>
        <v>1989</v>
      </c>
      <c r="BI56" s="173">
        <f t="shared" si="2"/>
        <v>1983</v>
      </c>
      <c r="BJ56" s="173">
        <f t="shared" si="2"/>
        <v>1988</v>
      </c>
      <c r="BK56" s="173">
        <f t="shared" si="2"/>
        <v>1987</v>
      </c>
      <c r="BL56" s="173">
        <f t="shared" si="2"/>
        <v>1986</v>
      </c>
      <c r="BM56" s="173">
        <f t="shared" si="2"/>
        <v>1985</v>
      </c>
      <c r="BN56" s="173">
        <f t="shared" ref="BN56:CR56" si="3">BN32+BN33</f>
        <v>1986</v>
      </c>
      <c r="BO56" s="173">
        <f t="shared" si="3"/>
        <v>1987</v>
      </c>
      <c r="BP56" s="173">
        <f t="shared" si="3"/>
        <v>1987</v>
      </c>
      <c r="BQ56" s="173">
        <f t="shared" si="3"/>
        <v>1988</v>
      </c>
      <c r="BR56" s="173">
        <f t="shared" si="3"/>
        <v>2474</v>
      </c>
      <c r="BS56" s="173">
        <f t="shared" si="3"/>
        <v>2472</v>
      </c>
      <c r="BT56" s="173">
        <f t="shared" si="3"/>
        <v>2459</v>
      </c>
      <c r="BU56" s="173">
        <f t="shared" si="3"/>
        <v>2552</v>
      </c>
      <c r="BV56" s="173">
        <f t="shared" si="3"/>
        <v>7478</v>
      </c>
      <c r="BW56" s="173">
        <f t="shared" si="3"/>
        <v>7571</v>
      </c>
      <c r="BX56" s="173">
        <f t="shared" si="3"/>
        <v>6567</v>
      </c>
      <c r="BY56" s="173">
        <f t="shared" si="3"/>
        <v>6598</v>
      </c>
      <c r="BZ56" s="173">
        <f t="shared" si="3"/>
        <v>6604</v>
      </c>
      <c r="CA56" s="173">
        <f t="shared" si="3"/>
        <v>11659</v>
      </c>
      <c r="CB56" s="173">
        <f t="shared" si="3"/>
        <v>11687</v>
      </c>
      <c r="CC56" s="173">
        <f t="shared" si="3"/>
        <v>11687</v>
      </c>
      <c r="CD56" s="173">
        <f t="shared" si="3"/>
        <v>11699</v>
      </c>
      <c r="CE56" s="173">
        <f t="shared" si="3"/>
        <v>10443</v>
      </c>
      <c r="CF56" s="173">
        <f t="shared" si="3"/>
        <v>10499</v>
      </c>
      <c r="CG56" s="173">
        <f t="shared" si="3"/>
        <v>10605</v>
      </c>
      <c r="CH56" s="173">
        <f t="shared" si="3"/>
        <v>10643</v>
      </c>
      <c r="CI56" s="173">
        <f t="shared" si="3"/>
        <v>9497</v>
      </c>
      <c r="CJ56" s="173">
        <f t="shared" si="3"/>
        <v>9548</v>
      </c>
      <c r="CK56" s="173">
        <f t="shared" si="3"/>
        <v>9578</v>
      </c>
      <c r="CL56" s="173">
        <f t="shared" si="3"/>
        <v>9741</v>
      </c>
      <c r="CM56" s="173">
        <f t="shared" si="3"/>
        <v>9765</v>
      </c>
      <c r="CN56" s="173">
        <f t="shared" si="3"/>
        <v>9952</v>
      </c>
      <c r="CO56" s="173">
        <f t="shared" si="3"/>
        <v>9982</v>
      </c>
      <c r="CP56" s="173">
        <f t="shared" si="3"/>
        <v>9985</v>
      </c>
      <c r="CQ56" s="173">
        <f t="shared" si="3"/>
        <v>0</v>
      </c>
      <c r="CR56" s="173">
        <f t="shared" si="3"/>
        <v>0</v>
      </c>
      <c r="CS56" s="49"/>
    </row>
    <row r="57" spans="1:97" s="167" customFormat="1">
      <c r="A57" s="49" t="s">
        <v>261</v>
      </c>
      <c r="B57" s="173">
        <f t="shared" ref="B57:BM57" si="4">B26</f>
        <v>3.944</v>
      </c>
      <c r="C57" s="173">
        <f t="shared" si="4"/>
        <v>5.6070000000000002</v>
      </c>
      <c r="D57" s="173">
        <f t="shared" si="4"/>
        <v>5.58</v>
      </c>
      <c r="E57" s="173">
        <f t="shared" si="4"/>
        <v>5.6760000000000002</v>
      </c>
      <c r="F57" s="173">
        <f t="shared" si="4"/>
        <v>6.2030000000000003</v>
      </c>
      <c r="G57" s="173">
        <f t="shared" si="4"/>
        <v>6.5279999999999996</v>
      </c>
      <c r="H57" s="173">
        <f t="shared" si="4"/>
        <v>5.7880000000000003</v>
      </c>
      <c r="I57" s="173">
        <f t="shared" si="4"/>
        <v>4.0149999999999997</v>
      </c>
      <c r="J57" s="173">
        <f t="shared" si="4"/>
        <v>3.0430000000000001</v>
      </c>
      <c r="K57" s="173">
        <f t="shared" si="4"/>
        <v>2.0379999999999998</v>
      </c>
      <c r="L57" s="173">
        <f t="shared" si="4"/>
        <v>1.36</v>
      </c>
      <c r="M57" s="173">
        <f t="shared" si="4"/>
        <v>0.85599999999999998</v>
      </c>
      <c r="N57" s="173">
        <f t="shared" si="4"/>
        <v>0.34499999999999997</v>
      </c>
      <c r="O57" s="173">
        <f t="shared" si="4"/>
        <v>0</v>
      </c>
      <c r="P57" s="173">
        <f t="shared" si="4"/>
        <v>0</v>
      </c>
      <c r="Q57" s="173">
        <f t="shared" si="4"/>
        <v>0</v>
      </c>
      <c r="R57" s="173">
        <f t="shared" si="4"/>
        <v>0</v>
      </c>
      <c r="S57" s="173">
        <f t="shared" si="4"/>
        <v>0</v>
      </c>
      <c r="T57" s="173">
        <f t="shared" si="4"/>
        <v>0.34</v>
      </c>
      <c r="U57" s="173">
        <f t="shared" si="4"/>
        <v>0</v>
      </c>
      <c r="V57" s="173">
        <f t="shared" si="4"/>
        <v>0</v>
      </c>
      <c r="W57" s="173">
        <f t="shared" si="4"/>
        <v>0</v>
      </c>
      <c r="X57" s="173">
        <f t="shared" si="4"/>
        <v>0</v>
      </c>
      <c r="Y57" s="173">
        <f t="shared" si="4"/>
        <v>0</v>
      </c>
      <c r="Z57" s="173">
        <f t="shared" si="4"/>
        <v>0</v>
      </c>
      <c r="AA57" s="173">
        <f t="shared" si="4"/>
        <v>0</v>
      </c>
      <c r="AB57" s="173">
        <f t="shared" si="4"/>
        <v>0</v>
      </c>
      <c r="AC57" s="173">
        <f t="shared" si="4"/>
        <v>0</v>
      </c>
      <c r="AD57" s="173">
        <f t="shared" si="4"/>
        <v>0</v>
      </c>
      <c r="AE57" s="173">
        <f t="shared" si="4"/>
        <v>0</v>
      </c>
      <c r="AF57" s="173">
        <f t="shared" si="4"/>
        <v>0</v>
      </c>
      <c r="AG57" s="173">
        <f t="shared" si="4"/>
        <v>0</v>
      </c>
      <c r="AH57" s="173">
        <f t="shared" si="4"/>
        <v>0</v>
      </c>
      <c r="AI57" s="173">
        <f t="shared" si="4"/>
        <v>0</v>
      </c>
      <c r="AJ57" s="173">
        <f t="shared" si="4"/>
        <v>0</v>
      </c>
      <c r="AK57" s="173">
        <f t="shared" si="4"/>
        <v>0</v>
      </c>
      <c r="AL57" s="173">
        <f t="shared" si="4"/>
        <v>0</v>
      </c>
      <c r="AM57" s="173">
        <f t="shared" si="4"/>
        <v>0</v>
      </c>
      <c r="AN57" s="173">
        <f t="shared" si="4"/>
        <v>0</v>
      </c>
      <c r="AO57" s="173">
        <f t="shared" si="4"/>
        <v>0</v>
      </c>
      <c r="AP57" s="173">
        <f t="shared" si="4"/>
        <v>0</v>
      </c>
      <c r="AQ57" s="173">
        <f t="shared" si="4"/>
        <v>0</v>
      </c>
      <c r="AR57" s="173">
        <f t="shared" si="4"/>
        <v>0</v>
      </c>
      <c r="AS57" s="173">
        <f t="shared" si="4"/>
        <v>0</v>
      </c>
      <c r="AT57" s="173">
        <f t="shared" si="4"/>
        <v>0</v>
      </c>
      <c r="AU57" s="173">
        <f t="shared" si="4"/>
        <v>0</v>
      </c>
      <c r="AV57" s="173">
        <f t="shared" si="4"/>
        <v>0</v>
      </c>
      <c r="AW57" s="173">
        <f t="shared" si="4"/>
        <v>0</v>
      </c>
      <c r="AX57" s="173">
        <f t="shared" si="4"/>
        <v>0</v>
      </c>
      <c r="AY57" s="173">
        <f t="shared" si="4"/>
        <v>0</v>
      </c>
      <c r="AZ57" s="173">
        <f t="shared" si="4"/>
        <v>0</v>
      </c>
      <c r="BA57" s="173">
        <f t="shared" si="4"/>
        <v>0</v>
      </c>
      <c r="BB57" s="173">
        <f t="shared" si="4"/>
        <v>0</v>
      </c>
      <c r="BC57" s="173">
        <f t="shared" si="4"/>
        <v>0</v>
      </c>
      <c r="BD57" s="173">
        <f t="shared" si="4"/>
        <v>0</v>
      </c>
      <c r="BE57" s="173">
        <f t="shared" si="4"/>
        <v>1500</v>
      </c>
      <c r="BF57" s="173">
        <f t="shared" si="4"/>
        <v>1500</v>
      </c>
      <c r="BG57" s="173">
        <f t="shared" si="4"/>
        <v>1500</v>
      </c>
      <c r="BH57" s="173">
        <f t="shared" si="4"/>
        <v>1056</v>
      </c>
      <c r="BI57" s="173">
        <f t="shared" si="4"/>
        <v>827</v>
      </c>
      <c r="BJ57" s="173">
        <f t="shared" si="4"/>
        <v>222</v>
      </c>
      <c r="BK57" s="173">
        <f t="shared" si="4"/>
        <v>86</v>
      </c>
      <c r="BL57" s="173">
        <f t="shared" si="4"/>
        <v>24</v>
      </c>
      <c r="BM57" s="173">
        <f t="shared" si="4"/>
        <v>15</v>
      </c>
      <c r="BN57" s="173">
        <f t="shared" ref="BN57:CR57" si="5">BN26</f>
        <v>14</v>
      </c>
      <c r="BO57" s="173">
        <f t="shared" si="5"/>
        <v>14</v>
      </c>
      <c r="BP57" s="173">
        <f t="shared" si="5"/>
        <v>3</v>
      </c>
      <c r="BQ57" s="173">
        <f t="shared" si="5"/>
        <v>0</v>
      </c>
      <c r="BR57" s="173">
        <f t="shared" si="5"/>
        <v>0</v>
      </c>
      <c r="BS57" s="173">
        <f t="shared" si="5"/>
        <v>0</v>
      </c>
      <c r="BT57" s="173">
        <f t="shared" si="5"/>
        <v>0</v>
      </c>
      <c r="BU57" s="173">
        <f t="shared" si="5"/>
        <v>0</v>
      </c>
      <c r="BV57" s="173">
        <f t="shared" si="5"/>
        <v>0</v>
      </c>
      <c r="BW57" s="173">
        <f t="shared" si="5"/>
        <v>0</v>
      </c>
      <c r="BX57" s="173">
        <f t="shared" si="5"/>
        <v>998</v>
      </c>
      <c r="BY57" s="173">
        <f t="shared" si="5"/>
        <v>999</v>
      </c>
      <c r="BZ57" s="173">
        <f t="shared" si="5"/>
        <v>999</v>
      </c>
      <c r="CA57" s="173">
        <f t="shared" si="5"/>
        <v>1000</v>
      </c>
      <c r="CB57" s="173">
        <f t="shared" si="5"/>
        <v>0</v>
      </c>
      <c r="CC57" s="173">
        <f t="shared" si="5"/>
        <v>0</v>
      </c>
      <c r="CD57" s="173">
        <f t="shared" si="5"/>
        <v>0</v>
      </c>
      <c r="CE57" s="173">
        <f t="shared" si="5"/>
        <v>1249</v>
      </c>
      <c r="CF57" s="173">
        <f t="shared" si="5"/>
        <v>1249</v>
      </c>
      <c r="CG57" s="173">
        <f t="shared" si="5"/>
        <v>1250</v>
      </c>
      <c r="CH57" s="173">
        <f t="shared" si="5"/>
        <v>1250</v>
      </c>
      <c r="CI57" s="173">
        <f t="shared" si="5"/>
        <v>1249</v>
      </c>
      <c r="CJ57" s="173">
        <f t="shared" si="5"/>
        <v>1249</v>
      </c>
      <c r="CK57" s="173">
        <f t="shared" si="5"/>
        <v>1250</v>
      </c>
      <c r="CL57" s="173">
        <f t="shared" si="5"/>
        <v>1250</v>
      </c>
      <c r="CM57" s="173">
        <f t="shared" si="5"/>
        <v>0</v>
      </c>
      <c r="CN57" s="173">
        <f t="shared" si="5"/>
        <v>0</v>
      </c>
      <c r="CO57" s="173">
        <f t="shared" si="5"/>
        <v>0</v>
      </c>
      <c r="CP57" s="173">
        <f t="shared" si="5"/>
        <v>0</v>
      </c>
      <c r="CQ57" s="173">
        <f t="shared" si="5"/>
        <v>0</v>
      </c>
      <c r="CR57" s="173">
        <f t="shared" si="5"/>
        <v>0</v>
      </c>
      <c r="CS57" s="49"/>
    </row>
    <row r="58" spans="1:97" s="167" customFormat="1">
      <c r="A58" s="49" t="s">
        <v>262</v>
      </c>
      <c r="B58" s="173">
        <f t="shared" ref="B58:BM58" si="6">B46</f>
        <v>0</v>
      </c>
      <c r="C58" s="173">
        <f t="shared" si="6"/>
        <v>0</v>
      </c>
      <c r="D58" s="173">
        <f t="shared" si="6"/>
        <v>0</v>
      </c>
      <c r="E58" s="173">
        <f t="shared" si="6"/>
        <v>0</v>
      </c>
      <c r="F58" s="173">
        <f t="shared" si="6"/>
        <v>0</v>
      </c>
      <c r="G58" s="173">
        <f t="shared" si="6"/>
        <v>0</v>
      </c>
      <c r="H58" s="173">
        <f t="shared" si="6"/>
        <v>0</v>
      </c>
      <c r="I58" s="173">
        <f t="shared" si="6"/>
        <v>0</v>
      </c>
      <c r="J58" s="173">
        <f t="shared" si="6"/>
        <v>0</v>
      </c>
      <c r="K58" s="173">
        <f t="shared" si="6"/>
        <v>0</v>
      </c>
      <c r="L58" s="173">
        <f t="shared" si="6"/>
        <v>0</v>
      </c>
      <c r="M58" s="173">
        <f t="shared" si="6"/>
        <v>0</v>
      </c>
      <c r="N58" s="173">
        <f t="shared" si="6"/>
        <v>0</v>
      </c>
      <c r="O58" s="173">
        <f t="shared" si="6"/>
        <v>0</v>
      </c>
      <c r="P58" s="173">
        <f t="shared" si="6"/>
        <v>0</v>
      </c>
      <c r="Q58" s="173">
        <f t="shared" si="6"/>
        <v>0</v>
      </c>
      <c r="R58" s="173">
        <f t="shared" si="6"/>
        <v>0</v>
      </c>
      <c r="S58" s="173">
        <f t="shared" si="6"/>
        <v>0</v>
      </c>
      <c r="T58" s="173">
        <f t="shared" si="6"/>
        <v>0</v>
      </c>
      <c r="U58" s="173">
        <f t="shared" si="6"/>
        <v>0</v>
      </c>
      <c r="V58" s="173">
        <f t="shared" si="6"/>
        <v>0</v>
      </c>
      <c r="W58" s="173">
        <f t="shared" si="6"/>
        <v>0</v>
      </c>
      <c r="X58" s="173">
        <f t="shared" si="6"/>
        <v>0</v>
      </c>
      <c r="Y58" s="173">
        <f t="shared" si="6"/>
        <v>0</v>
      </c>
      <c r="Z58" s="173">
        <f t="shared" si="6"/>
        <v>0</v>
      </c>
      <c r="AA58" s="173">
        <f t="shared" si="6"/>
        <v>0</v>
      </c>
      <c r="AB58" s="173">
        <f t="shared" si="6"/>
        <v>0</v>
      </c>
      <c r="AC58" s="173">
        <f t="shared" si="6"/>
        <v>0</v>
      </c>
      <c r="AD58" s="173">
        <f t="shared" si="6"/>
        <v>0</v>
      </c>
      <c r="AE58" s="173">
        <f t="shared" si="6"/>
        <v>0</v>
      </c>
      <c r="AF58" s="173">
        <f t="shared" si="6"/>
        <v>0</v>
      </c>
      <c r="AG58" s="173">
        <f t="shared" si="6"/>
        <v>0</v>
      </c>
      <c r="AH58" s="173">
        <f t="shared" si="6"/>
        <v>0</v>
      </c>
      <c r="AI58" s="173">
        <f t="shared" si="6"/>
        <v>0</v>
      </c>
      <c r="AJ58" s="173">
        <f t="shared" si="6"/>
        <v>0</v>
      </c>
      <c r="AK58" s="173">
        <f t="shared" si="6"/>
        <v>0</v>
      </c>
      <c r="AL58" s="173">
        <f t="shared" si="6"/>
        <v>0</v>
      </c>
      <c r="AM58" s="173">
        <f t="shared" si="6"/>
        <v>0</v>
      </c>
      <c r="AN58" s="173">
        <f t="shared" si="6"/>
        <v>0</v>
      </c>
      <c r="AO58" s="173">
        <f t="shared" si="6"/>
        <v>0</v>
      </c>
      <c r="AP58" s="173">
        <f t="shared" si="6"/>
        <v>0</v>
      </c>
      <c r="AQ58" s="173">
        <f t="shared" si="6"/>
        <v>0</v>
      </c>
      <c r="AR58" s="173">
        <f t="shared" si="6"/>
        <v>0</v>
      </c>
      <c r="AS58" s="173">
        <f t="shared" si="6"/>
        <v>0</v>
      </c>
      <c r="AT58" s="173">
        <f t="shared" si="6"/>
        <v>0</v>
      </c>
      <c r="AU58" s="173">
        <f t="shared" si="6"/>
        <v>0</v>
      </c>
      <c r="AV58" s="173">
        <f t="shared" si="6"/>
        <v>0</v>
      </c>
      <c r="AW58" s="173">
        <f t="shared" si="6"/>
        <v>0</v>
      </c>
      <c r="AX58" s="173">
        <f t="shared" si="6"/>
        <v>0</v>
      </c>
      <c r="AY58" s="173">
        <f t="shared" si="6"/>
        <v>0</v>
      </c>
      <c r="AZ58" s="173">
        <f t="shared" si="6"/>
        <v>0</v>
      </c>
      <c r="BA58" s="173">
        <f t="shared" si="6"/>
        <v>0</v>
      </c>
      <c r="BB58" s="173">
        <f t="shared" si="6"/>
        <v>0</v>
      </c>
      <c r="BC58" s="173">
        <f t="shared" si="6"/>
        <v>0</v>
      </c>
      <c r="BD58" s="173">
        <f t="shared" si="6"/>
        <v>0</v>
      </c>
      <c r="BE58" s="173">
        <f t="shared" si="6"/>
        <v>0</v>
      </c>
      <c r="BF58" s="173">
        <f t="shared" si="6"/>
        <v>0</v>
      </c>
      <c r="BG58" s="173">
        <f t="shared" si="6"/>
        <v>0</v>
      </c>
      <c r="BH58" s="173">
        <f t="shared" si="6"/>
        <v>0</v>
      </c>
      <c r="BI58" s="173">
        <f t="shared" si="6"/>
        <v>0</v>
      </c>
      <c r="BJ58" s="173">
        <f t="shared" si="6"/>
        <v>0</v>
      </c>
      <c r="BK58" s="173">
        <f t="shared" si="6"/>
        <v>0</v>
      </c>
      <c r="BL58" s="173">
        <f t="shared" si="6"/>
        <v>0</v>
      </c>
      <c r="BM58" s="173">
        <f t="shared" si="6"/>
        <v>0</v>
      </c>
      <c r="BN58" s="173">
        <f t="shared" ref="BN58:CR58" si="7">BN46</f>
        <v>0</v>
      </c>
      <c r="BO58" s="173">
        <f t="shared" si="7"/>
        <v>0</v>
      </c>
      <c r="BP58" s="173">
        <f t="shared" si="7"/>
        <v>0</v>
      </c>
      <c r="BQ58" s="173">
        <f t="shared" si="7"/>
        <v>0</v>
      </c>
      <c r="BR58" s="173">
        <f t="shared" si="7"/>
        <v>0</v>
      </c>
      <c r="BS58" s="173">
        <f t="shared" si="7"/>
        <v>0</v>
      </c>
      <c r="BT58" s="173">
        <f t="shared" si="7"/>
        <v>0</v>
      </c>
      <c r="BU58" s="173">
        <f t="shared" si="7"/>
        <v>0</v>
      </c>
      <c r="BV58" s="173">
        <f t="shared" si="7"/>
        <v>0</v>
      </c>
      <c r="BW58" s="173">
        <f t="shared" si="7"/>
        <v>0</v>
      </c>
      <c r="BX58" s="173">
        <f t="shared" si="7"/>
        <v>0</v>
      </c>
      <c r="BY58" s="173">
        <f t="shared" si="7"/>
        <v>0</v>
      </c>
      <c r="BZ58" s="173">
        <f t="shared" si="7"/>
        <v>0</v>
      </c>
      <c r="CA58" s="173">
        <f t="shared" si="7"/>
        <v>0</v>
      </c>
      <c r="CB58" s="173">
        <f t="shared" si="7"/>
        <v>0</v>
      </c>
      <c r="CC58" s="173">
        <f t="shared" si="7"/>
        <v>0</v>
      </c>
      <c r="CD58" s="173">
        <f t="shared" si="7"/>
        <v>0</v>
      </c>
      <c r="CE58" s="173">
        <f t="shared" si="7"/>
        <v>0</v>
      </c>
      <c r="CF58" s="173">
        <f t="shared" si="7"/>
        <v>0</v>
      </c>
      <c r="CG58" s="173">
        <f t="shared" si="7"/>
        <v>0</v>
      </c>
      <c r="CH58" s="173">
        <f t="shared" si="7"/>
        <v>0</v>
      </c>
      <c r="CI58" s="173">
        <f t="shared" si="7"/>
        <v>0</v>
      </c>
      <c r="CJ58" s="173">
        <f t="shared" si="7"/>
        <v>0</v>
      </c>
      <c r="CK58" s="173">
        <f t="shared" si="7"/>
        <v>0</v>
      </c>
      <c r="CL58" s="173">
        <f t="shared" si="7"/>
        <v>0</v>
      </c>
      <c r="CM58" s="173">
        <f t="shared" si="7"/>
        <v>0</v>
      </c>
      <c r="CN58" s="173">
        <f t="shared" si="7"/>
        <v>0</v>
      </c>
      <c r="CO58" s="173">
        <f t="shared" si="7"/>
        <v>0</v>
      </c>
      <c r="CP58" s="173">
        <f t="shared" si="7"/>
        <v>0</v>
      </c>
      <c r="CQ58" s="173">
        <f t="shared" si="7"/>
        <v>0</v>
      </c>
      <c r="CR58" s="173">
        <f t="shared" si="7"/>
        <v>0</v>
      </c>
      <c r="CS58" s="49"/>
    </row>
    <row r="59" spans="1:97" s="167" customFormat="1">
      <c r="A59" s="49" t="s">
        <v>263</v>
      </c>
      <c r="B59" s="174">
        <f t="shared" ref="B59:BM59" si="8">B5</f>
        <v>307.15100000000001</v>
      </c>
      <c r="C59" s="174">
        <f t="shared" si="8"/>
        <v>246.816</v>
      </c>
      <c r="D59" s="174">
        <f t="shared" si="8"/>
        <v>322.53500000000003</v>
      </c>
      <c r="E59" s="174">
        <f t="shared" si="8"/>
        <v>346.99400000000003</v>
      </c>
      <c r="F59" s="174">
        <f t="shared" si="8"/>
        <v>278.79599999999999</v>
      </c>
      <c r="G59" s="174">
        <f t="shared" si="8"/>
        <v>274.29700000000003</v>
      </c>
      <c r="H59" s="174">
        <f t="shared" si="8"/>
        <v>231.81299999999999</v>
      </c>
      <c r="I59" s="174">
        <f t="shared" si="8"/>
        <v>214.422</v>
      </c>
      <c r="J59" s="174">
        <f t="shared" si="8"/>
        <v>196.67500000000001</v>
      </c>
      <c r="K59" s="174">
        <f t="shared" si="8"/>
        <v>180.57900000000001</v>
      </c>
      <c r="L59" s="174">
        <f t="shared" si="8"/>
        <v>156.68700000000001</v>
      </c>
      <c r="M59" s="174">
        <f t="shared" si="8"/>
        <v>208.512</v>
      </c>
      <c r="N59" s="174">
        <f t="shared" si="8"/>
        <v>281.00400000000002</v>
      </c>
      <c r="O59" s="174">
        <f t="shared" si="8"/>
        <v>242.17</v>
      </c>
      <c r="P59" s="174">
        <f t="shared" si="8"/>
        <v>364.30799999999999</v>
      </c>
      <c r="Q59" s="174">
        <f t="shared" si="8"/>
        <v>551.75599999999997</v>
      </c>
      <c r="R59" s="174">
        <f t="shared" si="8"/>
        <v>487.76299999999998</v>
      </c>
      <c r="S59" s="174">
        <f t="shared" si="8"/>
        <v>388.423</v>
      </c>
      <c r="T59" s="174">
        <f t="shared" si="8"/>
        <v>741.74599999999998</v>
      </c>
      <c r="U59" s="174">
        <f t="shared" si="8"/>
        <v>544.41399999999999</v>
      </c>
      <c r="V59" s="174">
        <f t="shared" si="8"/>
        <v>678.95100000000002</v>
      </c>
      <c r="W59" s="174">
        <f t="shared" si="8"/>
        <v>914.745</v>
      </c>
      <c r="X59" s="174">
        <f t="shared" si="8"/>
        <v>1056.702</v>
      </c>
      <c r="Y59" s="174">
        <f t="shared" si="8"/>
        <v>726.96900000000005</v>
      </c>
      <c r="Z59" s="174">
        <f t="shared" si="8"/>
        <v>803.30799999999999</v>
      </c>
      <c r="AA59" s="174">
        <f t="shared" si="8"/>
        <v>719.14300000000003</v>
      </c>
      <c r="AB59" s="174">
        <f t="shared" si="8"/>
        <v>461.25299999999999</v>
      </c>
      <c r="AC59" s="174">
        <f t="shared" si="8"/>
        <v>417.68799999999999</v>
      </c>
      <c r="AD59" s="174">
        <f t="shared" si="8"/>
        <v>512.274</v>
      </c>
      <c r="AE59" s="174">
        <f t="shared" si="8"/>
        <v>523.78499999999997</v>
      </c>
      <c r="AF59" s="174">
        <f t="shared" si="8"/>
        <v>614.49</v>
      </c>
      <c r="AG59" s="174">
        <f t="shared" si="8"/>
        <v>447.221</v>
      </c>
      <c r="AH59" s="174">
        <f t="shared" si="8"/>
        <v>447.262</v>
      </c>
      <c r="AI59" s="174">
        <f t="shared" si="8"/>
        <v>377.00299999999999</v>
      </c>
      <c r="AJ59" s="174">
        <f t="shared" si="8"/>
        <v>0</v>
      </c>
      <c r="AK59" s="174">
        <f t="shared" si="8"/>
        <v>665.36099999999999</v>
      </c>
      <c r="AL59" s="174">
        <f t="shared" si="8"/>
        <v>683.63300000000004</v>
      </c>
      <c r="AM59" s="174">
        <f t="shared" si="8"/>
        <v>532.61400000000003</v>
      </c>
      <c r="AN59" s="174">
        <f t="shared" si="8"/>
        <v>566.81600000000003</v>
      </c>
      <c r="AO59" s="174">
        <f t="shared" si="8"/>
        <v>667.87599999999998</v>
      </c>
      <c r="AP59" s="174">
        <f t="shared" si="8"/>
        <v>369.13499999999999</v>
      </c>
      <c r="AQ59" s="174">
        <f t="shared" si="8"/>
        <v>499.61799999999999</v>
      </c>
      <c r="AR59" s="174">
        <f t="shared" si="8"/>
        <v>525.38800000000003</v>
      </c>
      <c r="AS59" s="174">
        <f t="shared" si="8"/>
        <v>732.78599999999994</v>
      </c>
      <c r="AT59" s="174">
        <f t="shared" si="8"/>
        <v>561.423</v>
      </c>
      <c r="AU59" s="174">
        <f t="shared" si="8"/>
        <v>591.32100000000003</v>
      </c>
      <c r="AV59" s="174">
        <f t="shared" si="8"/>
        <v>562.08399999999995</v>
      </c>
      <c r="AW59" s="174">
        <f t="shared" si="8"/>
        <v>1151.587</v>
      </c>
      <c r="AX59" s="174">
        <f t="shared" si="8"/>
        <v>509.16500000000002</v>
      </c>
      <c r="AY59" s="174">
        <f t="shared" si="8"/>
        <v>515.09199999999998</v>
      </c>
      <c r="AZ59" s="174">
        <f t="shared" si="8"/>
        <v>394.68299999999999</v>
      </c>
      <c r="BA59" s="174">
        <f t="shared" si="8"/>
        <v>497</v>
      </c>
      <c r="BB59" s="174">
        <f t="shared" si="8"/>
        <v>464</v>
      </c>
      <c r="BC59" s="174">
        <f t="shared" si="8"/>
        <v>435</v>
      </c>
      <c r="BD59" s="174">
        <f t="shared" si="8"/>
        <v>471</v>
      </c>
      <c r="BE59" s="174">
        <f t="shared" si="8"/>
        <v>596</v>
      </c>
      <c r="BF59" s="174">
        <f t="shared" si="8"/>
        <v>547</v>
      </c>
      <c r="BG59" s="174">
        <f t="shared" si="8"/>
        <v>426</v>
      </c>
      <c r="BH59" s="174">
        <f t="shared" si="8"/>
        <v>1940</v>
      </c>
      <c r="BI59" s="174">
        <f t="shared" si="8"/>
        <v>1766</v>
      </c>
      <c r="BJ59" s="174">
        <f t="shared" si="8"/>
        <v>1989</v>
      </c>
      <c r="BK59" s="174">
        <f t="shared" si="8"/>
        <v>1988</v>
      </c>
      <c r="BL59" s="174">
        <f t="shared" si="8"/>
        <v>2802</v>
      </c>
      <c r="BM59" s="174">
        <f t="shared" si="8"/>
        <v>4002</v>
      </c>
      <c r="BN59" s="174">
        <f t="shared" ref="BN59:CR59" si="9">BN5</f>
        <v>765</v>
      </c>
      <c r="BO59" s="174">
        <f t="shared" si="9"/>
        <v>718</v>
      </c>
      <c r="BP59" s="174">
        <f t="shared" si="9"/>
        <v>721</v>
      </c>
      <c r="BQ59" s="174">
        <f t="shared" si="9"/>
        <v>782</v>
      </c>
      <c r="BR59" s="174">
        <f t="shared" si="9"/>
        <v>2772</v>
      </c>
      <c r="BS59" s="174">
        <f t="shared" si="9"/>
        <v>7105</v>
      </c>
      <c r="BT59" s="174">
        <f t="shared" si="9"/>
        <v>9765</v>
      </c>
      <c r="BU59" s="174">
        <f t="shared" si="9"/>
        <v>10896</v>
      </c>
      <c r="BV59" s="174">
        <f t="shared" si="9"/>
        <v>15494</v>
      </c>
      <c r="BW59" s="174">
        <f t="shared" si="9"/>
        <v>3274</v>
      </c>
      <c r="BX59" s="174">
        <f t="shared" si="9"/>
        <v>2251</v>
      </c>
      <c r="BY59" s="174">
        <f t="shared" si="9"/>
        <v>847</v>
      </c>
      <c r="BZ59" s="174">
        <f t="shared" si="9"/>
        <v>978</v>
      </c>
      <c r="CA59" s="174">
        <f t="shared" si="9"/>
        <v>5628</v>
      </c>
      <c r="CB59" s="174">
        <f t="shared" si="9"/>
        <v>1288</v>
      </c>
      <c r="CC59" s="174">
        <f t="shared" si="9"/>
        <v>1990</v>
      </c>
      <c r="CD59" s="174">
        <f t="shared" si="9"/>
        <v>3887</v>
      </c>
      <c r="CE59" s="174">
        <f t="shared" si="9"/>
        <v>3013</v>
      </c>
      <c r="CF59" s="174">
        <f t="shared" si="9"/>
        <v>2800</v>
      </c>
      <c r="CG59" s="174">
        <f t="shared" si="9"/>
        <v>3389</v>
      </c>
      <c r="CH59" s="174">
        <f t="shared" si="9"/>
        <v>5079</v>
      </c>
      <c r="CI59" s="174">
        <f t="shared" si="9"/>
        <v>5783</v>
      </c>
      <c r="CJ59" s="174">
        <f t="shared" si="9"/>
        <v>5519</v>
      </c>
      <c r="CK59" s="174">
        <f t="shared" si="9"/>
        <v>7280</v>
      </c>
      <c r="CL59" s="174">
        <f t="shared" si="9"/>
        <v>7587</v>
      </c>
      <c r="CM59" s="174">
        <f t="shared" si="9"/>
        <v>8563</v>
      </c>
      <c r="CN59" s="174">
        <f t="shared" si="9"/>
        <v>9107</v>
      </c>
      <c r="CO59" s="174">
        <f t="shared" si="9"/>
        <v>8589</v>
      </c>
      <c r="CP59" s="174">
        <f t="shared" si="9"/>
        <v>15234</v>
      </c>
      <c r="CQ59" s="174">
        <f t="shared" si="9"/>
        <v>0</v>
      </c>
      <c r="CR59" s="174">
        <f t="shared" si="9"/>
        <v>0</v>
      </c>
      <c r="CS59" s="49"/>
    </row>
    <row r="60" spans="1:97" s="167" customFormat="1">
      <c r="A60" s="49" t="s">
        <v>264</v>
      </c>
      <c r="B60" s="49">
        <f t="shared" ref="B60:BM60" si="10">SUM(B55:B58)-B59</f>
        <v>870.38099999999986</v>
      </c>
      <c r="C60" s="49">
        <f t="shared" si="10"/>
        <v>950.24900000000002</v>
      </c>
      <c r="D60" s="49">
        <f t="shared" si="10"/>
        <v>868.66199999999981</v>
      </c>
      <c r="E60" s="49">
        <f t="shared" si="10"/>
        <v>896.24899999999991</v>
      </c>
      <c r="F60" s="49">
        <f t="shared" si="10"/>
        <v>992.43100000000004</v>
      </c>
      <c r="G60" s="49">
        <f t="shared" si="10"/>
        <v>1031.606</v>
      </c>
      <c r="H60" s="49">
        <f t="shared" si="10"/>
        <v>786.29100000000005</v>
      </c>
      <c r="I60" s="49">
        <f t="shared" si="10"/>
        <v>841.63400000000001</v>
      </c>
      <c r="J60" s="49">
        <f t="shared" si="10"/>
        <v>892.81600000000003</v>
      </c>
      <c r="K60" s="49">
        <f t="shared" si="10"/>
        <v>916.62100000000009</v>
      </c>
      <c r="L60" s="49">
        <f t="shared" si="10"/>
        <v>953.08399999999995</v>
      </c>
      <c r="M60" s="49">
        <f t="shared" si="10"/>
        <v>970.61200000000008</v>
      </c>
      <c r="N60" s="49">
        <f t="shared" si="10"/>
        <v>958.16099999999994</v>
      </c>
      <c r="O60" s="49">
        <f t="shared" si="10"/>
        <v>1033.0629999999999</v>
      </c>
      <c r="P60" s="49">
        <f t="shared" si="10"/>
        <v>985.13300000000004</v>
      </c>
      <c r="Q60" s="49">
        <f t="shared" si="10"/>
        <v>944.23599999999999</v>
      </c>
      <c r="R60" s="49">
        <f t="shared" si="10"/>
        <v>1120.8880000000001</v>
      </c>
      <c r="S60" s="49">
        <f t="shared" si="10"/>
        <v>1266.125</v>
      </c>
      <c r="T60" s="49">
        <f t="shared" si="10"/>
        <v>1104.3110000000001</v>
      </c>
      <c r="U60" s="49">
        <f t="shared" si="10"/>
        <v>1462.5050000000001</v>
      </c>
      <c r="V60" s="49">
        <f t="shared" si="10"/>
        <v>1416.9429999999998</v>
      </c>
      <c r="W60" s="49">
        <f t="shared" si="10"/>
        <v>1345.5329999999999</v>
      </c>
      <c r="X60" s="49">
        <f t="shared" si="10"/>
        <v>1421.2239999999999</v>
      </c>
      <c r="Y60" s="49">
        <f t="shared" si="10"/>
        <v>1890.9429999999998</v>
      </c>
      <c r="Z60" s="49">
        <f t="shared" si="10"/>
        <v>1933.87</v>
      </c>
      <c r="AA60" s="49">
        <f t="shared" si="10"/>
        <v>1943.7719999999999</v>
      </c>
      <c r="AB60" s="49">
        <f t="shared" si="10"/>
        <v>2025.8219999999999</v>
      </c>
      <c r="AC60" s="49">
        <f t="shared" si="10"/>
        <v>2002.598</v>
      </c>
      <c r="AD60" s="49">
        <f t="shared" si="10"/>
        <v>1831.9530000000004</v>
      </c>
      <c r="AE60" s="49">
        <f t="shared" si="10"/>
        <v>1748.6840000000002</v>
      </c>
      <c r="AF60" s="49">
        <f t="shared" si="10"/>
        <v>1833.9050000000004</v>
      </c>
      <c r="AG60" s="49">
        <f t="shared" si="10"/>
        <v>2242.3689999999997</v>
      </c>
      <c r="AH60" s="49">
        <f t="shared" si="10"/>
        <v>2437.4809999999998</v>
      </c>
      <c r="AI60" s="49">
        <f t="shared" si="10"/>
        <v>2407.2449999999999</v>
      </c>
      <c r="AJ60" s="49">
        <f t="shared" si="10"/>
        <v>0</v>
      </c>
      <c r="AK60" s="49">
        <f t="shared" si="10"/>
        <v>2539.4900000000002</v>
      </c>
      <c r="AL60" s="49">
        <f t="shared" si="10"/>
        <v>2787.1319999999996</v>
      </c>
      <c r="AM60" s="49">
        <f t="shared" si="10"/>
        <v>3179.348</v>
      </c>
      <c r="AN60" s="49">
        <f t="shared" si="10"/>
        <v>3428.5829999999996</v>
      </c>
      <c r="AO60" s="49">
        <f t="shared" si="10"/>
        <v>3499.2870000000003</v>
      </c>
      <c r="AP60" s="49">
        <f t="shared" si="10"/>
        <v>3939.1229999999996</v>
      </c>
      <c r="AQ60" s="49">
        <f t="shared" si="10"/>
        <v>3974.2840000000001</v>
      </c>
      <c r="AR60" s="49">
        <f t="shared" si="10"/>
        <v>4217.085</v>
      </c>
      <c r="AS60" s="49">
        <f t="shared" si="10"/>
        <v>4113.915</v>
      </c>
      <c r="AT60" s="49">
        <f t="shared" si="10"/>
        <v>4281.8459999999995</v>
      </c>
      <c r="AU60" s="49">
        <f t="shared" si="10"/>
        <v>3598.5370000000003</v>
      </c>
      <c r="AV60" s="49">
        <f t="shared" si="10"/>
        <v>3775.5780000000004</v>
      </c>
      <c r="AW60" s="49">
        <f t="shared" si="10"/>
        <v>4678.6859999999997</v>
      </c>
      <c r="AX60" s="49">
        <f t="shared" si="10"/>
        <v>5037.7789999999995</v>
      </c>
      <c r="AY60" s="49">
        <f t="shared" si="10"/>
        <v>5175.7850000000008</v>
      </c>
      <c r="AZ60" s="49">
        <f t="shared" si="10"/>
        <v>5202.1459999999997</v>
      </c>
      <c r="BA60" s="49">
        <f t="shared" si="10"/>
        <v>5319</v>
      </c>
      <c r="BB60" s="49">
        <f t="shared" si="10"/>
        <v>5496</v>
      </c>
      <c r="BC60" s="49">
        <f t="shared" si="10"/>
        <v>5161</v>
      </c>
      <c r="BD60" s="49">
        <f t="shared" si="10"/>
        <v>5411</v>
      </c>
      <c r="BE60" s="49">
        <f t="shared" si="10"/>
        <v>5383</v>
      </c>
      <c r="BF60" s="49">
        <f t="shared" si="10"/>
        <v>5158</v>
      </c>
      <c r="BG60" s="49">
        <f t="shared" si="10"/>
        <v>5562</v>
      </c>
      <c r="BH60" s="49">
        <f t="shared" si="10"/>
        <v>6429</v>
      </c>
      <c r="BI60" s="49">
        <f t="shared" si="10"/>
        <v>6806</v>
      </c>
      <c r="BJ60" s="49">
        <f t="shared" si="10"/>
        <v>6353</v>
      </c>
      <c r="BK60" s="49">
        <f t="shared" si="10"/>
        <v>6058</v>
      </c>
      <c r="BL60" s="49">
        <f t="shared" si="10"/>
        <v>5560</v>
      </c>
      <c r="BM60" s="49">
        <f t="shared" si="10"/>
        <v>5469</v>
      </c>
      <c r="BN60" s="49">
        <f t="shared" ref="BN60:CR60" si="11">SUM(BN55:BN58)-BN59</f>
        <v>8952</v>
      </c>
      <c r="BO60" s="49">
        <f t="shared" si="11"/>
        <v>10078</v>
      </c>
      <c r="BP60" s="49">
        <f t="shared" si="11"/>
        <v>10744</v>
      </c>
      <c r="BQ60" s="49">
        <f t="shared" si="11"/>
        <v>10548</v>
      </c>
      <c r="BR60" s="49">
        <f t="shared" si="11"/>
        <v>9406</v>
      </c>
      <c r="BS60" s="49">
        <f t="shared" si="11"/>
        <v>5703</v>
      </c>
      <c r="BT60" s="49">
        <f t="shared" si="11"/>
        <v>3908</v>
      </c>
      <c r="BU60" s="49">
        <f t="shared" si="11"/>
        <v>3860</v>
      </c>
      <c r="BV60" s="49">
        <f t="shared" si="11"/>
        <v>5083</v>
      </c>
      <c r="BW60" s="49">
        <f t="shared" si="11"/>
        <v>18211</v>
      </c>
      <c r="BX60" s="49">
        <f t="shared" si="11"/>
        <v>20648</v>
      </c>
      <c r="BY60" s="49">
        <f t="shared" si="11"/>
        <v>23643</v>
      </c>
      <c r="BZ60" s="49">
        <f t="shared" si="11"/>
        <v>25399</v>
      </c>
      <c r="CA60" s="49">
        <f t="shared" si="11"/>
        <v>28178</v>
      </c>
      <c r="CB60" s="49">
        <f t="shared" si="11"/>
        <v>34197</v>
      </c>
      <c r="CC60" s="49">
        <f t="shared" si="11"/>
        <v>36309</v>
      </c>
      <c r="CD60" s="49">
        <f t="shared" si="11"/>
        <v>34132</v>
      </c>
      <c r="CE60" s="49">
        <f t="shared" si="11"/>
        <v>32530</v>
      </c>
      <c r="CF60" s="49">
        <f t="shared" si="11"/>
        <v>30297</v>
      </c>
      <c r="CG60" s="49">
        <f t="shared" si="11"/>
        <v>30567</v>
      </c>
      <c r="CH60" s="49">
        <f t="shared" si="11"/>
        <v>31334</v>
      </c>
      <c r="CI60" s="49">
        <f t="shared" si="11"/>
        <v>32464</v>
      </c>
      <c r="CJ60" s="49">
        <f t="shared" si="11"/>
        <v>38543</v>
      </c>
      <c r="CK60" s="49">
        <f t="shared" si="11"/>
        <v>46526</v>
      </c>
      <c r="CL60" s="49">
        <f t="shared" si="11"/>
        <v>52546</v>
      </c>
      <c r="CM60" s="49">
        <f t="shared" si="11"/>
        <v>59359</v>
      </c>
      <c r="CN60" s="49">
        <f t="shared" si="11"/>
        <v>66744</v>
      </c>
      <c r="CO60" s="49">
        <f t="shared" si="11"/>
        <v>80720</v>
      </c>
      <c r="CP60" s="49">
        <f t="shared" si="11"/>
        <v>78594</v>
      </c>
      <c r="CQ60" s="49">
        <f t="shared" si="11"/>
        <v>0</v>
      </c>
      <c r="CR60" s="49">
        <f t="shared" si="11"/>
        <v>0</v>
      </c>
      <c r="CS60" s="49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D08C-52A1-444F-95DD-9B3387B99B47}">
  <dimension ref="C2:O1752"/>
  <sheetViews>
    <sheetView workbookViewId="0">
      <selection activeCell="G5" sqref="G5"/>
    </sheetView>
  </sheetViews>
  <sheetFormatPr baseColWidth="10" defaultRowHeight="16"/>
  <cols>
    <col min="4" max="4" width="16" customWidth="1"/>
  </cols>
  <sheetData>
    <row r="2" spans="3:15">
      <c r="C2" s="86" t="s">
        <v>60</v>
      </c>
      <c r="D2" s="86" t="s">
        <v>61</v>
      </c>
    </row>
    <row r="3" spans="3:15">
      <c r="C3" s="87">
        <v>43990</v>
      </c>
      <c r="D3" s="88">
        <v>8.8770000000000007</v>
      </c>
      <c r="E3" s="88"/>
    </row>
    <row r="4" spans="3:15">
      <c r="C4" s="87">
        <v>43991</v>
      </c>
      <c r="D4" s="88">
        <v>8.8000000000000007</v>
      </c>
      <c r="E4" s="88"/>
    </row>
    <row r="5" spans="3:15">
      <c r="C5" s="87">
        <v>43992</v>
      </c>
      <c r="D5" s="88">
        <v>9.1679999999999993</v>
      </c>
      <c r="E5" s="88"/>
    </row>
    <row r="6" spans="3:15">
      <c r="C6" s="87">
        <v>43993</v>
      </c>
      <c r="D6" s="88">
        <v>9.15</v>
      </c>
      <c r="E6" s="88"/>
    </row>
    <row r="7" spans="3:15">
      <c r="C7" s="87">
        <v>43994</v>
      </c>
      <c r="D7" s="88">
        <v>9.1630000000000003</v>
      </c>
      <c r="E7" s="88"/>
    </row>
    <row r="8" spans="3:15">
      <c r="C8" s="87">
        <v>43997</v>
      </c>
      <c r="D8" s="88">
        <v>8.8149999999999995</v>
      </c>
      <c r="E8" s="88"/>
    </row>
    <row r="9" spans="3:15">
      <c r="C9" s="87">
        <v>43998</v>
      </c>
      <c r="D9" s="88">
        <v>9.2249999999999996</v>
      </c>
      <c r="E9" s="88"/>
    </row>
    <row r="10" spans="3:15">
      <c r="C10" s="87">
        <v>43999</v>
      </c>
      <c r="D10" s="88">
        <v>9.1140000000000008</v>
      </c>
      <c r="E10" s="88"/>
    </row>
    <row r="11" spans="3:15">
      <c r="C11" s="87">
        <v>44000</v>
      </c>
      <c r="D11" s="88">
        <v>9.2270000000000003</v>
      </c>
      <c r="E11" s="88"/>
      <c r="H11" s="161"/>
      <c r="I11" s="161"/>
      <c r="J11" s="161"/>
      <c r="K11" s="161"/>
      <c r="L11" s="161"/>
      <c r="M11" s="161"/>
      <c r="N11" s="161"/>
      <c r="O11" s="161"/>
    </row>
    <row r="12" spans="3:15">
      <c r="C12" s="87">
        <v>44001</v>
      </c>
      <c r="D12" s="88">
        <v>9.2430000000000003</v>
      </c>
      <c r="E12" s="88"/>
      <c r="H12" s="49"/>
      <c r="I12" s="49"/>
      <c r="J12" s="49"/>
      <c r="K12" s="49"/>
      <c r="L12" s="49"/>
      <c r="M12" s="49"/>
      <c r="N12" s="49"/>
      <c r="O12" s="49"/>
    </row>
    <row r="13" spans="3:15">
      <c r="C13" s="87">
        <v>44004</v>
      </c>
      <c r="D13" s="88">
        <v>9.3000000000000007</v>
      </c>
      <c r="E13" s="88"/>
    </row>
    <row r="14" spans="3:15">
      <c r="C14" s="87">
        <v>44005</v>
      </c>
      <c r="D14" s="88">
        <v>9.5510000000000002</v>
      </c>
      <c r="E14" s="88"/>
    </row>
    <row r="15" spans="3:15">
      <c r="C15" s="87">
        <v>44006</v>
      </c>
      <c r="D15" s="88">
        <v>9.4760000000000009</v>
      </c>
      <c r="E15" s="88"/>
    </row>
    <row r="16" spans="3:15">
      <c r="C16" s="87">
        <v>44007</v>
      </c>
      <c r="D16" s="88">
        <v>9.3559999999999999</v>
      </c>
      <c r="E16" s="88"/>
    </row>
    <row r="17" spans="3:5">
      <c r="C17" s="87">
        <v>44008</v>
      </c>
      <c r="D17" s="88">
        <v>9.5</v>
      </c>
      <c r="E17" s="88"/>
    </row>
    <row r="18" spans="3:5">
      <c r="C18" s="87">
        <v>44011</v>
      </c>
      <c r="D18" s="88">
        <v>9.17</v>
      </c>
      <c r="E18" s="88"/>
    </row>
    <row r="19" spans="3:5">
      <c r="C19" s="87">
        <v>44012</v>
      </c>
      <c r="D19" s="88">
        <v>9.3140000000000001</v>
      </c>
      <c r="E19" s="88"/>
    </row>
    <row r="20" spans="3:5">
      <c r="C20" s="87">
        <v>44013</v>
      </c>
      <c r="D20" s="88">
        <v>9.5210000000000008</v>
      </c>
      <c r="E20" s="88"/>
    </row>
    <row r="21" spans="3:5">
      <c r="C21" s="87">
        <v>44014</v>
      </c>
      <c r="D21" s="88">
        <v>9.6389999999999993</v>
      </c>
      <c r="E21" s="88"/>
    </row>
    <row r="22" spans="3:5">
      <c r="C22" s="87">
        <v>44018</v>
      </c>
      <c r="D22" s="88">
        <v>9.7420000000000009</v>
      </c>
      <c r="E22" s="88"/>
    </row>
    <row r="23" spans="3:5">
      <c r="C23" s="87">
        <v>44019</v>
      </c>
      <c r="D23" s="88">
        <v>9.9459999999999997</v>
      </c>
      <c r="E23" s="88"/>
    </row>
    <row r="24" spans="3:5">
      <c r="C24" s="87">
        <v>44020</v>
      </c>
      <c r="D24" s="88">
        <v>9.9939999999999998</v>
      </c>
      <c r="E24" s="88"/>
    </row>
    <row r="25" spans="3:5">
      <c r="C25" s="87">
        <v>44021</v>
      </c>
      <c r="D25" s="88">
        <v>10.38</v>
      </c>
      <c r="E25" s="88"/>
    </row>
    <row r="26" spans="3:5">
      <c r="C26" s="87">
        <v>44022</v>
      </c>
      <c r="D26" s="88">
        <v>10.589</v>
      </c>
      <c r="E26" s="88"/>
    </row>
    <row r="27" spans="3:5">
      <c r="C27" s="87">
        <v>44025</v>
      </c>
      <c r="D27" s="88">
        <v>10.595000000000001</v>
      </c>
      <c r="E27" s="88"/>
    </row>
    <row r="28" spans="3:5">
      <c r="C28" s="87">
        <v>44026</v>
      </c>
      <c r="D28" s="88">
        <v>10.074999999999999</v>
      </c>
      <c r="E28" s="88"/>
    </row>
    <row r="29" spans="3:5">
      <c r="C29" s="87">
        <v>44027</v>
      </c>
      <c r="D29" s="88">
        <v>10.414</v>
      </c>
      <c r="E29" s="88"/>
    </row>
    <row r="30" spans="3:5">
      <c r="C30" s="87">
        <v>44028</v>
      </c>
      <c r="D30" s="88">
        <v>10.015000000000001</v>
      </c>
      <c r="E30" s="88"/>
    </row>
    <row r="31" spans="3:5">
      <c r="C31" s="87">
        <v>44029</v>
      </c>
      <c r="D31" s="88">
        <v>10.226000000000001</v>
      </c>
      <c r="E31" s="88"/>
    </row>
    <row r="32" spans="3:5">
      <c r="C32" s="87">
        <v>44032</v>
      </c>
      <c r="D32" s="88">
        <v>10.273999999999999</v>
      </c>
      <c r="E32" s="88"/>
    </row>
    <row r="33" spans="3:5">
      <c r="C33" s="87">
        <v>44033</v>
      </c>
      <c r="D33" s="88">
        <v>10.513</v>
      </c>
      <c r="E33" s="88"/>
    </row>
    <row r="34" spans="3:5">
      <c r="C34" s="87">
        <v>44034</v>
      </c>
      <c r="D34" s="88">
        <v>10.368</v>
      </c>
      <c r="E34" s="88"/>
    </row>
    <row r="35" spans="3:5">
      <c r="C35" s="87">
        <v>44035</v>
      </c>
      <c r="D35" s="88">
        <v>10.45</v>
      </c>
      <c r="E35" s="88"/>
    </row>
    <row r="36" spans="3:5">
      <c r="C36" s="87">
        <v>44036</v>
      </c>
      <c r="D36" s="88">
        <v>9.875</v>
      </c>
      <c r="E36" s="88"/>
    </row>
    <row r="37" spans="3:5">
      <c r="C37" s="87">
        <v>44039</v>
      </c>
      <c r="D37" s="88">
        <v>10.231999999999999</v>
      </c>
      <c r="E37" s="88"/>
    </row>
    <row r="38" spans="3:5">
      <c r="C38" s="87">
        <v>44040</v>
      </c>
      <c r="D38" s="88">
        <v>10.374000000000001</v>
      </c>
      <c r="E38" s="88"/>
    </row>
    <row r="39" spans="3:5">
      <c r="C39" s="87">
        <v>44041</v>
      </c>
      <c r="D39" s="88">
        <v>10.391</v>
      </c>
      <c r="E39" s="88"/>
    </row>
    <row r="40" spans="3:5">
      <c r="C40" s="87">
        <v>44042</v>
      </c>
      <c r="D40" s="88">
        <v>10.375</v>
      </c>
      <c r="E40" s="88"/>
    </row>
    <row r="41" spans="3:5">
      <c r="C41" s="87">
        <v>44043</v>
      </c>
      <c r="D41" s="88">
        <v>10.563000000000001</v>
      </c>
      <c r="E41" s="88"/>
    </row>
    <row r="42" spans="3:5">
      <c r="C42" s="87">
        <v>44046</v>
      </c>
      <c r="D42" s="88">
        <v>10.733000000000001</v>
      </c>
      <c r="E42" s="88"/>
    </row>
    <row r="43" spans="3:5">
      <c r="C43" s="87">
        <v>44047</v>
      </c>
      <c r="D43" s="88">
        <v>11.05</v>
      </c>
      <c r="E43" s="88"/>
    </row>
    <row r="44" spans="3:5">
      <c r="C44" s="87">
        <v>44048</v>
      </c>
      <c r="D44" s="88">
        <v>11.244</v>
      </c>
      <c r="E44" s="88"/>
    </row>
    <row r="45" spans="3:5">
      <c r="C45" s="87">
        <v>44049</v>
      </c>
      <c r="D45" s="88">
        <v>11.35</v>
      </c>
      <c r="E45" s="88"/>
    </row>
    <row r="46" spans="3:5">
      <c r="C46" s="87">
        <v>44050</v>
      </c>
      <c r="D46" s="88">
        <v>11.313000000000001</v>
      </c>
      <c r="E46" s="88"/>
    </row>
    <row r="47" spans="3:5">
      <c r="C47" s="87">
        <v>44053</v>
      </c>
      <c r="D47" s="88">
        <v>11.334</v>
      </c>
      <c r="E47" s="88"/>
    </row>
    <row r="48" spans="3:5">
      <c r="C48" s="87">
        <v>44054</v>
      </c>
      <c r="D48" s="88">
        <v>11.074</v>
      </c>
      <c r="E48" s="88"/>
    </row>
    <row r="49" spans="3:5">
      <c r="C49" s="87">
        <v>44055</v>
      </c>
      <c r="D49" s="88">
        <v>10.991</v>
      </c>
      <c r="E49" s="88"/>
    </row>
    <row r="50" spans="3:5">
      <c r="C50" s="87">
        <v>44056</v>
      </c>
      <c r="D50" s="88">
        <v>11.545999999999999</v>
      </c>
      <c r="E50" s="88"/>
    </row>
    <row r="51" spans="3:5">
      <c r="C51" s="87">
        <v>44057</v>
      </c>
      <c r="D51" s="88">
        <v>11.53</v>
      </c>
      <c r="E51" s="88"/>
    </row>
    <row r="52" spans="3:5">
      <c r="C52" s="87">
        <v>44060</v>
      </c>
      <c r="D52" s="88">
        <v>11.851000000000001</v>
      </c>
      <c r="E52" s="88"/>
    </row>
    <row r="53" spans="3:5">
      <c r="C53" s="87">
        <v>44061</v>
      </c>
      <c r="D53" s="88">
        <v>12.45</v>
      </c>
      <c r="E53" s="88"/>
    </row>
    <row r="54" spans="3:5">
      <c r="C54" s="87">
        <v>44062</v>
      </c>
      <c r="D54" s="88">
        <v>12.297000000000001</v>
      </c>
      <c r="E54" s="88"/>
    </row>
    <row r="55" spans="3:5">
      <c r="C55" s="87">
        <v>44063</v>
      </c>
      <c r="D55" s="88">
        <v>11.975</v>
      </c>
      <c r="E55" s="88"/>
    </row>
    <row r="56" spans="3:5">
      <c r="C56" s="87">
        <v>44064</v>
      </c>
      <c r="D56" s="88">
        <v>12.202</v>
      </c>
      <c r="E56" s="88"/>
    </row>
    <row r="57" spans="3:5">
      <c r="C57" s="87">
        <v>44067</v>
      </c>
      <c r="D57" s="88">
        <v>12.884</v>
      </c>
      <c r="E57" s="88"/>
    </row>
    <row r="58" spans="3:5">
      <c r="C58" s="87">
        <v>44068</v>
      </c>
      <c r="D58" s="88">
        <v>12.631</v>
      </c>
      <c r="E58" s="88"/>
    </row>
    <row r="59" spans="3:5">
      <c r="C59" s="87">
        <v>44069</v>
      </c>
      <c r="D59" s="88">
        <v>12.798999999999999</v>
      </c>
      <c r="E59" s="88"/>
    </row>
    <row r="60" spans="3:5">
      <c r="C60" s="87">
        <v>44070</v>
      </c>
      <c r="D60" s="88">
        <v>12.782</v>
      </c>
      <c r="E60" s="88"/>
    </row>
    <row r="61" spans="3:5">
      <c r="C61" s="87">
        <v>44071</v>
      </c>
      <c r="D61" s="88">
        <v>12.675000000000001</v>
      </c>
      <c r="E61" s="88"/>
    </row>
    <row r="62" spans="3:5">
      <c r="C62" s="87">
        <v>44074</v>
      </c>
      <c r="D62" s="88">
        <v>13.183</v>
      </c>
      <c r="E62" s="88"/>
    </row>
    <row r="63" spans="3:5">
      <c r="C63" s="87">
        <v>44075</v>
      </c>
      <c r="D63" s="88">
        <v>13.48</v>
      </c>
      <c r="E63" s="88"/>
    </row>
    <row r="64" spans="3:5">
      <c r="C64" s="87">
        <v>44076</v>
      </c>
      <c r="D64" s="88">
        <v>14.704000000000001</v>
      </c>
      <c r="E64" s="88"/>
    </row>
    <row r="65" spans="3:5">
      <c r="C65" s="87">
        <v>44077</v>
      </c>
      <c r="D65" s="88">
        <v>13.829000000000001</v>
      </c>
      <c r="E65" s="88"/>
    </row>
    <row r="66" spans="3:5">
      <c r="C66" s="87">
        <v>44078</v>
      </c>
      <c r="D66" s="88">
        <v>12.784000000000001</v>
      </c>
      <c r="E66" s="88"/>
    </row>
    <row r="67" spans="3:5">
      <c r="C67" s="87">
        <v>44082</v>
      </c>
      <c r="D67" s="88">
        <v>11.734999999999999</v>
      </c>
      <c r="E67" s="88"/>
    </row>
    <row r="68" spans="3:5">
      <c r="C68" s="87">
        <v>44083</v>
      </c>
      <c r="D68" s="88">
        <v>12.4</v>
      </c>
      <c r="E68" s="88"/>
    </row>
    <row r="69" spans="3:5">
      <c r="C69" s="87">
        <v>44084</v>
      </c>
      <c r="D69" s="88">
        <v>12.989000000000001</v>
      </c>
      <c r="E69" s="88"/>
    </row>
    <row r="70" spans="3:5">
      <c r="C70" s="87">
        <v>44085</v>
      </c>
      <c r="D70" s="88">
        <v>12.486000000000001</v>
      </c>
      <c r="E70" s="88"/>
    </row>
    <row r="71" spans="3:5">
      <c r="C71" s="87">
        <v>44088</v>
      </c>
      <c r="D71" s="88">
        <v>13.081</v>
      </c>
      <c r="E71" s="88"/>
    </row>
    <row r="72" spans="3:5">
      <c r="C72" s="87">
        <v>44089</v>
      </c>
      <c r="D72" s="88">
        <v>13.28</v>
      </c>
      <c r="E72" s="88"/>
    </row>
    <row r="73" spans="3:5">
      <c r="C73" s="87">
        <v>44090</v>
      </c>
      <c r="D73" s="88">
        <v>12.957000000000001</v>
      </c>
      <c r="E73" s="88"/>
    </row>
    <row r="74" spans="3:5">
      <c r="C74" s="87">
        <v>44091</v>
      </c>
      <c r="D74" s="88">
        <v>12.132</v>
      </c>
      <c r="E74" s="88"/>
    </row>
    <row r="75" spans="3:5">
      <c r="C75" s="87">
        <v>44092</v>
      </c>
      <c r="D75" s="88">
        <v>12.593999999999999</v>
      </c>
      <c r="E75" s="88"/>
    </row>
    <row r="76" spans="3:5">
      <c r="C76" s="87">
        <v>44095</v>
      </c>
      <c r="D76" s="88">
        <v>11.925000000000001</v>
      </c>
      <c r="E76" s="88"/>
    </row>
    <row r="77" spans="3:5">
      <c r="C77" s="87">
        <v>44096</v>
      </c>
      <c r="D77" s="88">
        <v>12.574999999999999</v>
      </c>
      <c r="E77" s="88"/>
    </row>
    <row r="78" spans="3:5">
      <c r="C78" s="87">
        <v>44097</v>
      </c>
      <c r="D78" s="88">
        <v>12.576000000000001</v>
      </c>
      <c r="E78" s="88"/>
    </row>
    <row r="79" spans="3:5">
      <c r="C79" s="87">
        <v>44098</v>
      </c>
      <c r="D79" s="88">
        <v>12.071999999999999</v>
      </c>
      <c r="E79" s="88"/>
    </row>
    <row r="80" spans="3:5">
      <c r="C80" s="87">
        <v>44099</v>
      </c>
      <c r="D80" s="88">
        <v>12.448</v>
      </c>
      <c r="E80" s="88"/>
    </row>
    <row r="81" spans="3:5">
      <c r="C81" s="87">
        <v>44102</v>
      </c>
      <c r="D81" s="88">
        <v>13.04</v>
      </c>
      <c r="E81" s="88"/>
    </row>
    <row r="82" spans="3:5">
      <c r="C82" s="87">
        <v>44103</v>
      </c>
      <c r="D82" s="88">
        <v>12.938000000000001</v>
      </c>
      <c r="E82" s="88"/>
    </row>
    <row r="83" spans="3:5">
      <c r="C83" s="87">
        <v>44104</v>
      </c>
      <c r="D83" s="88">
        <v>13.157999999999999</v>
      </c>
      <c r="E83" s="88"/>
    </row>
    <row r="84" spans="3:5">
      <c r="C84" s="87">
        <v>44105</v>
      </c>
      <c r="D84" s="88">
        <v>13.757999999999999</v>
      </c>
      <c r="E84" s="88"/>
    </row>
    <row r="85" spans="3:5">
      <c r="C85" s="87">
        <v>44106</v>
      </c>
      <c r="D85" s="88">
        <v>13.225</v>
      </c>
      <c r="E85" s="88"/>
    </row>
    <row r="86" spans="3:5">
      <c r="C86" s="87">
        <v>44109</v>
      </c>
      <c r="D86" s="88">
        <v>13.236000000000001</v>
      </c>
      <c r="E86" s="88"/>
    </row>
    <row r="87" spans="3:5">
      <c r="C87" s="87">
        <v>44110</v>
      </c>
      <c r="D87" s="88">
        <v>13.83</v>
      </c>
      <c r="E87" s="88"/>
    </row>
    <row r="88" spans="3:5">
      <c r="C88" s="87">
        <v>44111</v>
      </c>
      <c r="D88" s="88">
        <v>14</v>
      </c>
      <c r="E88" s="88"/>
    </row>
    <row r="89" spans="3:5">
      <c r="C89" s="87">
        <v>44112</v>
      </c>
      <c r="D89" s="88">
        <v>14.074999999999999</v>
      </c>
      <c r="E89" s="88"/>
    </row>
    <row r="90" spans="3:5">
      <c r="C90" s="87">
        <v>44113</v>
      </c>
      <c r="D90" s="88">
        <v>13.766999999999999</v>
      </c>
      <c r="E90" s="88"/>
    </row>
    <row r="91" spans="3:5">
      <c r="C91" s="87">
        <v>44116</v>
      </c>
      <c r="D91" s="88">
        <v>13.99</v>
      </c>
      <c r="E91" s="88"/>
    </row>
    <row r="92" spans="3:5">
      <c r="C92" s="87">
        <v>44117</v>
      </c>
      <c r="D92" s="88">
        <v>14.297000000000001</v>
      </c>
      <c r="E92" s="88"/>
    </row>
    <row r="93" spans="3:5">
      <c r="C93" s="87">
        <v>44118</v>
      </c>
      <c r="D93" s="88">
        <v>14.291</v>
      </c>
      <c r="E93" s="88"/>
    </row>
    <row r="94" spans="3:5">
      <c r="C94" s="87">
        <v>44119</v>
      </c>
      <c r="D94" s="88">
        <v>13.811</v>
      </c>
      <c r="E94" s="88"/>
    </row>
    <row r="95" spans="3:5">
      <c r="C95" s="87">
        <v>44120</v>
      </c>
      <c r="D95" s="88">
        <v>14.037000000000001</v>
      </c>
      <c r="E95" s="88"/>
    </row>
    <row r="96" spans="3:5">
      <c r="C96" s="87">
        <v>44123</v>
      </c>
      <c r="D96" s="88">
        <v>13.903</v>
      </c>
      <c r="E96" s="88"/>
    </row>
    <row r="97" spans="3:5">
      <c r="C97" s="87">
        <v>44124</v>
      </c>
      <c r="D97" s="88">
        <v>13.584</v>
      </c>
      <c r="E97" s="88"/>
    </row>
    <row r="98" spans="3:5">
      <c r="C98" s="87">
        <v>44125</v>
      </c>
      <c r="D98" s="88">
        <v>13.625</v>
      </c>
      <c r="E98" s="88"/>
    </row>
    <row r="99" spans="3:5">
      <c r="C99" s="87">
        <v>44126</v>
      </c>
      <c r="D99" s="88">
        <v>13.523</v>
      </c>
      <c r="E99" s="88"/>
    </row>
    <row r="100" spans="3:5">
      <c r="C100" s="87">
        <v>44127</v>
      </c>
      <c r="D100" s="88">
        <v>13.45</v>
      </c>
      <c r="E100" s="88"/>
    </row>
    <row r="101" spans="3:5">
      <c r="C101" s="87">
        <v>44130</v>
      </c>
      <c r="D101" s="88">
        <v>13.427</v>
      </c>
      <c r="E101" s="88"/>
    </row>
    <row r="102" spans="3:5">
      <c r="C102" s="87">
        <v>44131</v>
      </c>
      <c r="D102" s="88">
        <v>13.305999999999999</v>
      </c>
      <c r="E102" s="88"/>
    </row>
    <row r="103" spans="3:5">
      <c r="C103" s="87">
        <v>44132</v>
      </c>
      <c r="D103" s="88">
        <v>13.198</v>
      </c>
      <c r="E103" s="88"/>
    </row>
    <row r="104" spans="3:5">
      <c r="C104" s="87">
        <v>44133</v>
      </c>
      <c r="D104" s="88">
        <v>12.839</v>
      </c>
      <c r="E104" s="88"/>
    </row>
    <row r="105" spans="3:5">
      <c r="C105" s="87">
        <v>44134</v>
      </c>
      <c r="D105" s="88">
        <v>12.85</v>
      </c>
      <c r="E105" s="88"/>
    </row>
    <row r="106" spans="3:5">
      <c r="C106" s="87">
        <v>44137</v>
      </c>
      <c r="D106" s="88">
        <v>12.657999999999999</v>
      </c>
      <c r="E106" s="88"/>
    </row>
    <row r="107" spans="3:5">
      <c r="C107" s="87">
        <v>44138</v>
      </c>
      <c r="D107" s="88">
        <v>12.709</v>
      </c>
      <c r="E107" s="88"/>
    </row>
    <row r="108" spans="3:5">
      <c r="C108" s="87">
        <v>44139</v>
      </c>
      <c r="D108" s="88">
        <v>13.388999999999999</v>
      </c>
      <c r="E108" s="88"/>
    </row>
    <row r="109" spans="3:5">
      <c r="C109" s="87">
        <v>44140</v>
      </c>
      <c r="D109" s="88">
        <v>14.163</v>
      </c>
      <c r="E109" s="88"/>
    </row>
    <row r="110" spans="3:5">
      <c r="C110" s="87">
        <v>44141</v>
      </c>
      <c r="D110" s="88">
        <v>14.11</v>
      </c>
      <c r="E110" s="88"/>
    </row>
    <row r="111" spans="3:5">
      <c r="C111" s="87">
        <v>44144</v>
      </c>
      <c r="D111" s="88">
        <v>14.553000000000001</v>
      </c>
      <c r="E111" s="88"/>
    </row>
    <row r="112" spans="3:5">
      <c r="C112" s="87">
        <v>44145</v>
      </c>
      <c r="D112" s="88">
        <v>13.606999999999999</v>
      </c>
      <c r="E112" s="88"/>
    </row>
    <row r="113" spans="3:5">
      <c r="C113" s="87">
        <v>44146</v>
      </c>
      <c r="D113" s="88">
        <v>13.054</v>
      </c>
      <c r="E113" s="88"/>
    </row>
    <row r="114" spans="3:5">
      <c r="C114" s="87">
        <v>44147</v>
      </c>
      <c r="D114" s="88">
        <v>13.478999999999999</v>
      </c>
      <c r="E114" s="88"/>
    </row>
    <row r="115" spans="3:5">
      <c r="C115" s="87">
        <v>44148</v>
      </c>
      <c r="D115" s="88">
        <v>13.627000000000001</v>
      </c>
      <c r="E115" s="88"/>
    </row>
    <row r="116" spans="3:5">
      <c r="C116" s="87">
        <v>44151</v>
      </c>
      <c r="D116" s="88">
        <v>13.173</v>
      </c>
      <c r="E116" s="88"/>
    </row>
    <row r="117" spans="3:5">
      <c r="C117" s="87">
        <v>44152</v>
      </c>
      <c r="D117" s="88">
        <v>13.553000000000001</v>
      </c>
      <c r="E117" s="88"/>
    </row>
    <row r="118" spans="3:5">
      <c r="C118" s="87">
        <v>44153</v>
      </c>
      <c r="D118" s="88">
        <v>13.465</v>
      </c>
      <c r="E118" s="88"/>
    </row>
    <row r="119" spans="3:5">
      <c r="C119" s="87">
        <v>44154</v>
      </c>
      <c r="D119" s="88">
        <v>13.212999999999999</v>
      </c>
      <c r="E119" s="88"/>
    </row>
    <row r="120" spans="3:5">
      <c r="C120" s="87">
        <v>44155</v>
      </c>
      <c r="D120" s="88">
        <v>13.454000000000001</v>
      </c>
      <c r="E120" s="88"/>
    </row>
    <row r="121" spans="3:5">
      <c r="C121" s="87">
        <v>44158</v>
      </c>
      <c r="D121" s="88">
        <v>13.170999999999999</v>
      </c>
      <c r="E121" s="88"/>
    </row>
    <row r="122" spans="3:5">
      <c r="C122" s="87">
        <v>44159</v>
      </c>
      <c r="D122" s="88">
        <v>13.143000000000001</v>
      </c>
      <c r="E122" s="88"/>
    </row>
    <row r="123" spans="3:5">
      <c r="C123" s="87">
        <v>44160</v>
      </c>
      <c r="D123" s="88">
        <v>13.032999999999999</v>
      </c>
      <c r="E123" s="88"/>
    </row>
    <row r="124" spans="3:5">
      <c r="C124" s="87">
        <v>44162</v>
      </c>
      <c r="D124" s="88">
        <v>13.375</v>
      </c>
      <c r="E124" s="88"/>
    </row>
    <row r="125" spans="3:5">
      <c r="C125" s="87">
        <v>44165</v>
      </c>
      <c r="D125" s="88">
        <v>13.265000000000001</v>
      </c>
      <c r="E125" s="88"/>
    </row>
    <row r="126" spans="3:5">
      <c r="C126" s="87">
        <v>44166</v>
      </c>
      <c r="D126" s="88">
        <v>13.492000000000001</v>
      </c>
      <c r="E126" s="88"/>
    </row>
    <row r="127" spans="3:5">
      <c r="C127" s="87">
        <v>44167</v>
      </c>
      <c r="D127" s="88">
        <v>13.351000000000001</v>
      </c>
      <c r="E127" s="88"/>
    </row>
    <row r="128" spans="3:5">
      <c r="C128" s="87">
        <v>44168</v>
      </c>
      <c r="D128" s="88">
        <v>13.587999999999999</v>
      </c>
      <c r="E128" s="88"/>
    </row>
    <row r="129" spans="3:5">
      <c r="C129" s="87">
        <v>44169</v>
      </c>
      <c r="D129" s="88">
        <v>13.449</v>
      </c>
      <c r="E129" s="88"/>
    </row>
    <row r="130" spans="3:5">
      <c r="C130" s="87">
        <v>44172</v>
      </c>
      <c r="D130" s="88">
        <v>13.601000000000001</v>
      </c>
      <c r="E130" s="88"/>
    </row>
    <row r="131" spans="3:5">
      <c r="C131" s="87">
        <v>44173</v>
      </c>
      <c r="D131" s="88">
        <v>13.585000000000001</v>
      </c>
      <c r="E131" s="88"/>
    </row>
    <row r="132" spans="3:5">
      <c r="C132" s="87">
        <v>44174</v>
      </c>
      <c r="D132" s="88">
        <v>13.301</v>
      </c>
      <c r="E132" s="88"/>
    </row>
    <row r="133" spans="3:5">
      <c r="C133" s="87">
        <v>44175</v>
      </c>
      <c r="D133" s="88">
        <v>12.869</v>
      </c>
      <c r="E133" s="88"/>
    </row>
    <row r="134" spans="3:5">
      <c r="C134" s="87">
        <v>44176</v>
      </c>
      <c r="D134" s="88">
        <v>12.967000000000001</v>
      </c>
      <c r="E134" s="88"/>
    </row>
    <row r="135" spans="3:5">
      <c r="C135" s="87">
        <v>44179</v>
      </c>
      <c r="D135" s="88">
        <v>13.087999999999999</v>
      </c>
      <c r="E135" s="88"/>
    </row>
    <row r="136" spans="3:5">
      <c r="C136" s="87">
        <v>44180</v>
      </c>
      <c r="D136" s="88">
        <v>13.44</v>
      </c>
      <c r="E136" s="88"/>
    </row>
    <row r="137" spans="3:5">
      <c r="C137" s="87">
        <v>44181</v>
      </c>
      <c r="D137" s="88">
        <v>13.422000000000001</v>
      </c>
      <c r="E137" s="88"/>
    </row>
    <row r="138" spans="3:5">
      <c r="C138" s="87">
        <v>44182</v>
      </c>
      <c r="D138" s="88">
        <v>13.367000000000001</v>
      </c>
      <c r="E138" s="88"/>
    </row>
    <row r="139" spans="3:5">
      <c r="C139" s="87">
        <v>44183</v>
      </c>
      <c r="D139" s="88">
        <v>13.379</v>
      </c>
      <c r="E139" s="88"/>
    </row>
    <row r="140" spans="3:5">
      <c r="C140" s="87">
        <v>44186</v>
      </c>
      <c r="D140" s="88">
        <v>13.074999999999999</v>
      </c>
      <c r="E140" s="88"/>
    </row>
    <row r="141" spans="3:5">
      <c r="C141" s="87">
        <v>44187</v>
      </c>
      <c r="D141" s="88">
        <v>13.319000000000001</v>
      </c>
      <c r="E141" s="88"/>
    </row>
    <row r="142" spans="3:5">
      <c r="C142" s="87">
        <v>44188</v>
      </c>
      <c r="D142" s="88">
        <v>13.256</v>
      </c>
      <c r="E142" s="88"/>
    </row>
    <row r="143" spans="3:5">
      <c r="C143" s="87">
        <v>44189</v>
      </c>
      <c r="D143" s="88">
        <v>13.037000000000001</v>
      </c>
      <c r="E143" s="88"/>
    </row>
    <row r="144" spans="3:5">
      <c r="C144" s="87">
        <v>44193</v>
      </c>
      <c r="D144" s="88">
        <v>13.063000000000001</v>
      </c>
      <c r="E144" s="88"/>
    </row>
    <row r="145" spans="3:5">
      <c r="C145" s="87">
        <v>44194</v>
      </c>
      <c r="D145" s="88">
        <v>12.925000000000001</v>
      </c>
      <c r="E145" s="88"/>
    </row>
    <row r="146" spans="3:5">
      <c r="C146" s="87">
        <v>44195</v>
      </c>
      <c r="D146" s="88">
        <v>12.99</v>
      </c>
      <c r="E146" s="88"/>
    </row>
    <row r="147" spans="3:5">
      <c r="C147" s="87">
        <v>44196</v>
      </c>
      <c r="D147" s="88">
        <v>13.137</v>
      </c>
      <c r="E147" s="88"/>
    </row>
    <row r="148" spans="3:5">
      <c r="C148" s="87">
        <v>44200</v>
      </c>
      <c r="D148" s="88">
        <v>13.103999999999999</v>
      </c>
      <c r="E148" s="88"/>
    </row>
    <row r="149" spans="3:5">
      <c r="C149" s="87">
        <v>44201</v>
      </c>
      <c r="D149" s="88">
        <v>13.1</v>
      </c>
      <c r="E149" s="88"/>
    </row>
    <row r="150" spans="3:5">
      <c r="C150" s="87">
        <v>44202</v>
      </c>
      <c r="D150" s="88">
        <v>13.223000000000001</v>
      </c>
      <c r="E150" s="88"/>
    </row>
    <row r="151" spans="3:5">
      <c r="C151" s="87">
        <v>44203</v>
      </c>
      <c r="D151" s="88">
        <v>12.968</v>
      </c>
      <c r="E151" s="88"/>
    </row>
    <row r="152" spans="3:5">
      <c r="C152" s="87">
        <v>44204</v>
      </c>
      <c r="D152" s="88">
        <v>13.363</v>
      </c>
      <c r="E152" s="88"/>
    </row>
    <row r="153" spans="3:5">
      <c r="C153" s="87">
        <v>44207</v>
      </c>
      <c r="D153" s="88">
        <v>13.419</v>
      </c>
      <c r="E153" s="88"/>
    </row>
    <row r="154" spans="3:5">
      <c r="C154" s="87">
        <v>44208</v>
      </c>
      <c r="D154" s="88">
        <v>13.753</v>
      </c>
      <c r="E154" s="88"/>
    </row>
    <row r="155" spans="3:5">
      <c r="C155" s="87">
        <v>44209</v>
      </c>
      <c r="D155" s="88">
        <v>13.49</v>
      </c>
      <c r="E155" s="88"/>
    </row>
    <row r="156" spans="3:5">
      <c r="C156" s="87">
        <v>44210</v>
      </c>
      <c r="D156" s="88">
        <v>13.574999999999999</v>
      </c>
      <c r="E156" s="88"/>
    </row>
    <row r="157" spans="3:5">
      <c r="C157" s="87">
        <v>44211</v>
      </c>
      <c r="D157" s="88">
        <v>13.228</v>
      </c>
      <c r="E157" s="88"/>
    </row>
    <row r="158" spans="3:5">
      <c r="C158" s="87">
        <v>44215</v>
      </c>
      <c r="D158" s="88">
        <v>13.016</v>
      </c>
      <c r="E158" s="88"/>
    </row>
    <row r="159" spans="3:5">
      <c r="C159" s="87">
        <v>44216</v>
      </c>
      <c r="D159" s="88">
        <v>13.112</v>
      </c>
      <c r="E159" s="88"/>
    </row>
    <row r="160" spans="3:5">
      <c r="C160" s="87">
        <v>44217</v>
      </c>
      <c r="D160" s="88">
        <v>13.419</v>
      </c>
      <c r="E160" s="88"/>
    </row>
    <row r="161" spans="3:5">
      <c r="C161" s="87">
        <v>44218</v>
      </c>
      <c r="D161" s="88">
        <v>13.74</v>
      </c>
      <c r="E161" s="88"/>
    </row>
    <row r="162" spans="3:5">
      <c r="C162" s="87">
        <v>44221</v>
      </c>
      <c r="D162" s="88">
        <v>13.782</v>
      </c>
      <c r="E162" s="88"/>
    </row>
    <row r="163" spans="3:5">
      <c r="C163" s="87">
        <v>44222</v>
      </c>
      <c r="D163" s="88">
        <v>13.58</v>
      </c>
      <c r="E163" s="88"/>
    </row>
    <row r="164" spans="3:5">
      <c r="C164" s="87">
        <v>44223</v>
      </c>
      <c r="D164" s="88">
        <v>13.23</v>
      </c>
      <c r="E164" s="88"/>
    </row>
    <row r="165" spans="3:5">
      <c r="C165" s="87">
        <v>44224</v>
      </c>
      <c r="D165" s="88">
        <v>12.996</v>
      </c>
      <c r="E165" s="88"/>
    </row>
    <row r="166" spans="3:5">
      <c r="C166" s="87">
        <v>44225</v>
      </c>
      <c r="D166" s="88">
        <v>13.074999999999999</v>
      </c>
      <c r="E166" s="88"/>
    </row>
    <row r="167" spans="3:5">
      <c r="C167" s="87">
        <v>44228</v>
      </c>
      <c r="D167" s="88">
        <v>13.053000000000001</v>
      </c>
      <c r="E167" s="88"/>
    </row>
    <row r="168" spans="3:5">
      <c r="C168" s="87">
        <v>44229</v>
      </c>
      <c r="D168" s="88">
        <v>13.398999999999999</v>
      </c>
      <c r="E168" s="88"/>
    </row>
    <row r="169" spans="3:5">
      <c r="C169" s="87">
        <v>44230</v>
      </c>
      <c r="D169" s="88">
        <v>13.635999999999999</v>
      </c>
      <c r="E169" s="88"/>
    </row>
    <row r="170" spans="3:5">
      <c r="C170" s="87">
        <v>44231</v>
      </c>
      <c r="D170" s="88">
        <v>13.531000000000001</v>
      </c>
      <c r="E170" s="88"/>
    </row>
    <row r="171" spans="3:5">
      <c r="C171" s="87">
        <v>44232</v>
      </c>
      <c r="D171" s="88">
        <v>13.725</v>
      </c>
      <c r="E171" s="88"/>
    </row>
    <row r="172" spans="3:5">
      <c r="C172" s="87">
        <v>44235</v>
      </c>
      <c r="D172" s="88">
        <v>13.727</v>
      </c>
      <c r="E172" s="88"/>
    </row>
    <row r="173" spans="3:5">
      <c r="C173" s="87">
        <v>44236</v>
      </c>
      <c r="D173" s="88">
        <v>14.340999999999999</v>
      </c>
      <c r="E173" s="88"/>
    </row>
    <row r="174" spans="3:5">
      <c r="C174" s="87">
        <v>44237</v>
      </c>
      <c r="D174" s="88">
        <v>14.462999999999999</v>
      </c>
      <c r="E174" s="88"/>
    </row>
    <row r="175" spans="3:5">
      <c r="C175" s="87">
        <v>44238</v>
      </c>
      <c r="D175" s="88">
        <v>14.98</v>
      </c>
      <c r="E175" s="88"/>
    </row>
    <row r="176" spans="3:5">
      <c r="C176" s="87">
        <v>44239</v>
      </c>
      <c r="D176" s="88">
        <v>15.05</v>
      </c>
      <c r="E176" s="88"/>
    </row>
    <row r="177" spans="3:5">
      <c r="C177" s="87">
        <v>44243</v>
      </c>
      <c r="D177" s="88">
        <v>15.064</v>
      </c>
      <c r="E177" s="88"/>
    </row>
    <row r="178" spans="3:5">
      <c r="C178" s="87">
        <v>44244</v>
      </c>
      <c r="D178" s="88">
        <v>15.170999999999999</v>
      </c>
      <c r="E178" s="88"/>
    </row>
    <row r="179" spans="3:5">
      <c r="C179" s="87">
        <v>44245</v>
      </c>
      <c r="D179" s="88">
        <v>14.728999999999999</v>
      </c>
      <c r="E179" s="88"/>
    </row>
    <row r="180" spans="3:5">
      <c r="C180" s="87">
        <v>44246</v>
      </c>
      <c r="D180" s="88">
        <v>15.025</v>
      </c>
      <c r="E180" s="88"/>
    </row>
    <row r="181" spans="3:5">
      <c r="C181" s="87">
        <v>44249</v>
      </c>
      <c r="D181" s="88">
        <v>14.927</v>
      </c>
      <c r="E181" s="88"/>
    </row>
    <row r="182" spans="3:5">
      <c r="C182" s="87">
        <v>44250</v>
      </c>
      <c r="D182" s="88">
        <v>14.074999999999999</v>
      </c>
      <c r="E182" s="88"/>
    </row>
    <row r="183" spans="3:5">
      <c r="C183" s="87">
        <v>44251</v>
      </c>
      <c r="D183" s="88">
        <v>14.122999999999999</v>
      </c>
      <c r="E183" s="88"/>
    </row>
    <row r="184" spans="3:5">
      <c r="C184" s="87">
        <v>44252</v>
      </c>
      <c r="D184" s="88">
        <v>14.045</v>
      </c>
      <c r="E184" s="88"/>
    </row>
    <row r="185" spans="3:5">
      <c r="C185" s="87">
        <v>44253</v>
      </c>
      <c r="D185" s="88">
        <v>13.753</v>
      </c>
      <c r="E185" s="88"/>
    </row>
    <row r="186" spans="3:5">
      <c r="C186" s="87">
        <v>44256</v>
      </c>
      <c r="D186" s="88">
        <v>13.875</v>
      </c>
      <c r="E186" s="88"/>
    </row>
    <row r="187" spans="3:5">
      <c r="C187" s="87">
        <v>44257</v>
      </c>
      <c r="D187" s="88">
        <v>13.9</v>
      </c>
      <c r="E187" s="88"/>
    </row>
    <row r="188" spans="3:5">
      <c r="C188" s="87">
        <v>44258</v>
      </c>
      <c r="D188" s="88">
        <v>13.426</v>
      </c>
      <c r="E188" s="88"/>
    </row>
    <row r="189" spans="3:5">
      <c r="C189" s="87">
        <v>44259</v>
      </c>
      <c r="D189" s="88">
        <v>12.801</v>
      </c>
      <c r="E189" s="88"/>
    </row>
    <row r="190" spans="3:5">
      <c r="C190" s="87">
        <v>44260</v>
      </c>
      <c r="D190" s="88">
        <v>12.55</v>
      </c>
      <c r="E190" s="88"/>
    </row>
    <row r="191" spans="3:5">
      <c r="C191" s="87">
        <v>44263</v>
      </c>
      <c r="D191" s="88">
        <v>12.45</v>
      </c>
      <c r="E191" s="88"/>
    </row>
    <row r="192" spans="3:5">
      <c r="C192" s="87">
        <v>44264</v>
      </c>
      <c r="D192" s="88">
        <v>12.13</v>
      </c>
      <c r="E192" s="88"/>
    </row>
    <row r="193" spans="3:5">
      <c r="C193" s="87">
        <v>44265</v>
      </c>
      <c r="D193" s="88">
        <v>12.840999999999999</v>
      </c>
      <c r="E193" s="88"/>
    </row>
    <row r="194" spans="3:5">
      <c r="C194" s="87">
        <v>44266</v>
      </c>
      <c r="D194" s="88">
        <v>12.95</v>
      </c>
      <c r="E194" s="88"/>
    </row>
    <row r="195" spans="3:5">
      <c r="C195" s="87">
        <v>44267</v>
      </c>
      <c r="D195" s="88">
        <v>12.648</v>
      </c>
      <c r="E195" s="88"/>
    </row>
    <row r="196" spans="3:5">
      <c r="C196" s="87">
        <v>44270</v>
      </c>
      <c r="D196" s="88">
        <v>12.865</v>
      </c>
      <c r="E196" s="88"/>
    </row>
    <row r="197" spans="3:5">
      <c r="C197" s="87">
        <v>44271</v>
      </c>
      <c r="D197" s="88">
        <v>13.356999999999999</v>
      </c>
      <c r="E197" s="88"/>
    </row>
    <row r="198" spans="3:5">
      <c r="C198" s="87">
        <v>44272</v>
      </c>
      <c r="D198" s="88">
        <v>13.04</v>
      </c>
      <c r="E198" s="88"/>
    </row>
    <row r="199" spans="3:5">
      <c r="C199" s="87">
        <v>44273</v>
      </c>
      <c r="D199" s="88">
        <v>13.137</v>
      </c>
      <c r="E199" s="88"/>
    </row>
    <row r="200" spans="3:5">
      <c r="C200" s="87">
        <v>44274</v>
      </c>
      <c r="D200" s="88">
        <v>12.75</v>
      </c>
      <c r="E200" s="88"/>
    </row>
    <row r="201" spans="3:5">
      <c r="C201" s="87">
        <v>44277</v>
      </c>
      <c r="D201" s="88">
        <v>12.913</v>
      </c>
      <c r="E201" s="88"/>
    </row>
    <row r="202" spans="3:5">
      <c r="C202" s="87">
        <v>44278</v>
      </c>
      <c r="D202" s="88">
        <v>13.254</v>
      </c>
      <c r="E202" s="88"/>
    </row>
    <row r="203" spans="3:5">
      <c r="C203" s="87">
        <v>44279</v>
      </c>
      <c r="D203" s="88">
        <v>13.151</v>
      </c>
      <c r="E203" s="88"/>
    </row>
    <row r="204" spans="3:5">
      <c r="C204" s="87">
        <v>44280</v>
      </c>
      <c r="D204" s="88">
        <v>12.5</v>
      </c>
      <c r="E204" s="88"/>
    </row>
    <row r="205" spans="3:5">
      <c r="C205" s="87">
        <v>44281</v>
      </c>
      <c r="D205" s="88">
        <v>12.555</v>
      </c>
      <c r="E205" s="88"/>
    </row>
    <row r="206" spans="3:5">
      <c r="C206" s="87">
        <v>44284</v>
      </c>
      <c r="D206" s="88">
        <v>12.82</v>
      </c>
      <c r="E206" s="88"/>
    </row>
    <row r="207" spans="3:5">
      <c r="C207" s="87">
        <v>44285</v>
      </c>
      <c r="D207" s="88">
        <v>12.842000000000001</v>
      </c>
      <c r="E207" s="88"/>
    </row>
    <row r="208" spans="3:5">
      <c r="C208" s="87">
        <v>44286</v>
      </c>
      <c r="D208" s="88">
        <v>13.016</v>
      </c>
      <c r="E208" s="88"/>
    </row>
    <row r="209" spans="3:5">
      <c r="C209" s="87">
        <v>44287</v>
      </c>
      <c r="D209" s="88">
        <v>13.571999999999999</v>
      </c>
      <c r="E209" s="88"/>
    </row>
    <row r="210" spans="3:5">
      <c r="C210" s="87">
        <v>44291</v>
      </c>
      <c r="D210" s="88">
        <v>13.868</v>
      </c>
      <c r="E210" s="88"/>
    </row>
    <row r="211" spans="3:5">
      <c r="C211" s="87">
        <v>44292</v>
      </c>
      <c r="D211" s="88">
        <v>14</v>
      </c>
      <c r="E211" s="88"/>
    </row>
    <row r="212" spans="3:5">
      <c r="C212" s="87">
        <v>44293</v>
      </c>
      <c r="D212" s="88">
        <v>13.881</v>
      </c>
      <c r="E212" s="88"/>
    </row>
    <row r="213" spans="3:5">
      <c r="C213" s="87">
        <v>44294</v>
      </c>
      <c r="D213" s="88">
        <v>14.253</v>
      </c>
      <c r="E213" s="88"/>
    </row>
    <row r="214" spans="3:5">
      <c r="C214" s="87">
        <v>44295</v>
      </c>
      <c r="D214" s="88">
        <v>14.214</v>
      </c>
      <c r="E214" s="88"/>
    </row>
    <row r="215" spans="3:5">
      <c r="C215" s="87">
        <v>44298</v>
      </c>
      <c r="D215" s="88">
        <v>14.29</v>
      </c>
      <c r="E215" s="88"/>
    </row>
    <row r="216" spans="3:5">
      <c r="C216" s="87">
        <v>44299</v>
      </c>
      <c r="D216" s="88">
        <v>15.231999999999999</v>
      </c>
      <c r="E216" s="88"/>
    </row>
    <row r="217" spans="3:5">
      <c r="C217" s="87">
        <v>44300</v>
      </c>
      <c r="D217" s="88">
        <v>15.625</v>
      </c>
      <c r="E217" s="88"/>
    </row>
    <row r="218" spans="3:5">
      <c r="C218" s="87">
        <v>44301</v>
      </c>
      <c r="D218" s="88">
        <v>15.663</v>
      </c>
      <c r="E218" s="88"/>
    </row>
    <row r="219" spans="3:5">
      <c r="C219" s="87">
        <v>44302</v>
      </c>
      <c r="D219" s="88">
        <v>16.053000000000001</v>
      </c>
      <c r="E219" s="88"/>
    </row>
    <row r="220" spans="3:5">
      <c r="C220" s="87">
        <v>44305</v>
      </c>
      <c r="D220" s="88">
        <v>15.537000000000001</v>
      </c>
      <c r="E220" s="88"/>
    </row>
    <row r="221" spans="3:5">
      <c r="C221" s="87">
        <v>44306</v>
      </c>
      <c r="D221" s="88">
        <v>15.323</v>
      </c>
      <c r="E221" s="88"/>
    </row>
    <row r="222" spans="3:5">
      <c r="C222" s="87">
        <v>44307</v>
      </c>
      <c r="D222" s="88">
        <v>15.119</v>
      </c>
      <c r="E222" s="88"/>
    </row>
    <row r="223" spans="3:5">
      <c r="C223" s="87">
        <v>44308</v>
      </c>
      <c r="D223" s="88">
        <v>15.375</v>
      </c>
      <c r="E223" s="88"/>
    </row>
    <row r="224" spans="3:5">
      <c r="C224" s="87">
        <v>44309</v>
      </c>
      <c r="D224" s="88">
        <v>14.933999999999999</v>
      </c>
      <c r="E224" s="88"/>
    </row>
    <row r="225" spans="3:5">
      <c r="C225" s="87">
        <v>44312</v>
      </c>
      <c r="D225" s="88">
        <v>15.185</v>
      </c>
      <c r="E225" s="88"/>
    </row>
    <row r="226" spans="3:5">
      <c r="C226" s="87">
        <v>44313</v>
      </c>
      <c r="D226" s="88">
        <v>15.579000000000001</v>
      </c>
      <c r="E226" s="88"/>
    </row>
    <row r="227" spans="3:5">
      <c r="C227" s="87">
        <v>44314</v>
      </c>
      <c r="D227" s="88">
        <v>15.365</v>
      </c>
      <c r="E227" s="88"/>
    </row>
    <row r="228" spans="3:5">
      <c r="C228" s="87">
        <v>44315</v>
      </c>
      <c r="D228" s="88">
        <v>15.4</v>
      </c>
      <c r="E228" s="88"/>
    </row>
    <row r="229" spans="3:5">
      <c r="C229" s="87">
        <v>44316</v>
      </c>
      <c r="D229" s="88">
        <v>15.175000000000001</v>
      </c>
      <c r="E229" s="88"/>
    </row>
    <row r="230" spans="3:5">
      <c r="C230" s="87">
        <v>44319</v>
      </c>
      <c r="D230" s="88">
        <v>15.125</v>
      </c>
      <c r="E230" s="88"/>
    </row>
    <row r="231" spans="3:5">
      <c r="C231" s="87">
        <v>44320</v>
      </c>
      <c r="D231" s="88">
        <v>14.637</v>
      </c>
      <c r="E231" s="88"/>
    </row>
    <row r="232" spans="3:5">
      <c r="C232" s="87">
        <v>44321</v>
      </c>
      <c r="D232" s="88">
        <v>14.709</v>
      </c>
      <c r="E232" s="88"/>
    </row>
    <row r="233" spans="3:5">
      <c r="C233" s="87">
        <v>44322</v>
      </c>
      <c r="D233" s="88">
        <v>14.494999999999999</v>
      </c>
      <c r="E233" s="88"/>
    </row>
    <row r="234" spans="3:5">
      <c r="C234" s="87">
        <v>44323</v>
      </c>
      <c r="D234" s="88">
        <v>14.808</v>
      </c>
      <c r="E234" s="88"/>
    </row>
    <row r="235" spans="3:5">
      <c r="C235" s="87">
        <v>44326</v>
      </c>
      <c r="D235" s="88">
        <v>14.787000000000001</v>
      </c>
      <c r="E235" s="88"/>
    </row>
    <row r="236" spans="3:5">
      <c r="C236" s="87">
        <v>44327</v>
      </c>
      <c r="D236" s="88">
        <v>13.824999999999999</v>
      </c>
      <c r="E236" s="88"/>
    </row>
    <row r="237" spans="3:5">
      <c r="C237" s="87">
        <v>44328</v>
      </c>
      <c r="D237" s="88">
        <v>14.01</v>
      </c>
      <c r="E237" s="88"/>
    </row>
    <row r="238" spans="3:5">
      <c r="C238" s="87">
        <v>44329</v>
      </c>
      <c r="D238" s="88">
        <v>14.034000000000001</v>
      </c>
      <c r="E238" s="88"/>
    </row>
    <row r="239" spans="3:5">
      <c r="C239" s="87">
        <v>44330</v>
      </c>
      <c r="D239" s="88">
        <v>13.89</v>
      </c>
      <c r="E239" s="88"/>
    </row>
    <row r="240" spans="3:5">
      <c r="C240" s="87">
        <v>44333</v>
      </c>
      <c r="D240" s="88">
        <v>14.157</v>
      </c>
      <c r="E240" s="88"/>
    </row>
    <row r="241" spans="3:5">
      <c r="C241" s="87">
        <v>44334</v>
      </c>
      <c r="D241" s="88">
        <v>14.266999999999999</v>
      </c>
      <c r="E241" s="88"/>
    </row>
    <row r="242" spans="3:5">
      <c r="C242" s="87">
        <v>44335</v>
      </c>
      <c r="D242" s="88">
        <v>13.567</v>
      </c>
      <c r="E242" s="88"/>
    </row>
    <row r="243" spans="3:5">
      <c r="C243" s="87">
        <v>44336</v>
      </c>
      <c r="D243" s="88">
        <v>14.303000000000001</v>
      </c>
      <c r="E243" s="88"/>
    </row>
    <row r="244" spans="3:5">
      <c r="C244" s="87">
        <v>44337</v>
      </c>
      <c r="D244" s="88">
        <v>15.164</v>
      </c>
      <c r="E244" s="88"/>
    </row>
    <row r="245" spans="3:5">
      <c r="C245" s="87">
        <v>44340</v>
      </c>
      <c r="D245" s="88">
        <v>15.212999999999999</v>
      </c>
      <c r="E245" s="88"/>
    </row>
    <row r="246" spans="3:5">
      <c r="C246" s="87">
        <v>44341</v>
      </c>
      <c r="D246" s="88">
        <v>15.766</v>
      </c>
      <c r="E246" s="88"/>
    </row>
    <row r="247" spans="3:5">
      <c r="C247" s="87">
        <v>44342</v>
      </c>
      <c r="D247" s="88">
        <v>15.734</v>
      </c>
      <c r="E247" s="88"/>
    </row>
    <row r="248" spans="3:5">
      <c r="C248" s="87">
        <v>44343</v>
      </c>
      <c r="D248" s="88">
        <v>15.7</v>
      </c>
      <c r="E248" s="88"/>
    </row>
    <row r="249" spans="3:5">
      <c r="C249" s="87">
        <v>44344</v>
      </c>
      <c r="D249" s="88">
        <v>15.500999999999999</v>
      </c>
      <c r="E249" s="88"/>
    </row>
    <row r="250" spans="3:5">
      <c r="C250" s="87">
        <v>44348</v>
      </c>
      <c r="D250" s="88">
        <v>16.27</v>
      </c>
      <c r="E250" s="88"/>
    </row>
    <row r="251" spans="3:5">
      <c r="C251" s="87">
        <v>44349</v>
      </c>
      <c r="D251" s="88">
        <v>16.251999999999999</v>
      </c>
      <c r="E251" s="88"/>
    </row>
    <row r="252" spans="3:5">
      <c r="C252" s="87">
        <v>44350</v>
      </c>
      <c r="D252" s="88">
        <v>16.701000000000001</v>
      </c>
      <c r="E252" s="88"/>
    </row>
    <row r="253" spans="3:5">
      <c r="C253" s="87">
        <v>44351</v>
      </c>
      <c r="D253" s="88">
        <v>17.113</v>
      </c>
      <c r="E253" s="88"/>
    </row>
    <row r="254" spans="3:5">
      <c r="C254" s="87">
        <v>44354</v>
      </c>
      <c r="D254" s="88">
        <v>17.571000000000002</v>
      </c>
      <c r="E254" s="88"/>
    </row>
    <row r="255" spans="3:5">
      <c r="C255" s="87">
        <v>44355</v>
      </c>
      <c r="D255" s="88">
        <v>17.527000000000001</v>
      </c>
      <c r="E255" s="88"/>
    </row>
    <row r="256" spans="3:5">
      <c r="C256" s="87">
        <v>44356</v>
      </c>
      <c r="D256" s="88">
        <v>17.515999999999998</v>
      </c>
      <c r="E256" s="88"/>
    </row>
    <row r="257" spans="3:5">
      <c r="C257" s="87">
        <v>44357</v>
      </c>
      <c r="D257" s="88">
        <v>17.350000000000001</v>
      </c>
      <c r="E257" s="88"/>
    </row>
    <row r="258" spans="3:5">
      <c r="C258" s="87">
        <v>44358</v>
      </c>
      <c r="D258" s="88">
        <v>17.48</v>
      </c>
      <c r="E258" s="88"/>
    </row>
    <row r="259" spans="3:5">
      <c r="C259" s="87">
        <v>44361</v>
      </c>
      <c r="D259" s="88">
        <v>17.905999999999999</v>
      </c>
      <c r="E259" s="88"/>
    </row>
    <row r="260" spans="3:5">
      <c r="C260" s="87">
        <v>44362</v>
      </c>
      <c r="D260" s="88">
        <v>17.914999999999999</v>
      </c>
      <c r="E260" s="88"/>
    </row>
    <row r="261" spans="3:5">
      <c r="C261" s="87">
        <v>44363</v>
      </c>
      <c r="D261" s="88">
        <v>17.791</v>
      </c>
      <c r="E261" s="88"/>
    </row>
    <row r="262" spans="3:5">
      <c r="C262" s="87">
        <v>44364</v>
      </c>
      <c r="D262" s="88">
        <v>17.774999999999999</v>
      </c>
      <c r="E262" s="88"/>
    </row>
    <row r="263" spans="3:5">
      <c r="C263" s="87">
        <v>44365</v>
      </c>
      <c r="D263" s="88">
        <v>18.783999999999999</v>
      </c>
      <c r="E263" s="88"/>
    </row>
    <row r="264" spans="3:5">
      <c r="C264" s="87">
        <v>44368</v>
      </c>
      <c r="D264" s="88">
        <v>18.434999999999999</v>
      </c>
      <c r="E264" s="88"/>
    </row>
    <row r="265" spans="3:5">
      <c r="C265" s="87">
        <v>44369</v>
      </c>
      <c r="D265" s="88">
        <v>18.472000000000001</v>
      </c>
      <c r="E265" s="88"/>
    </row>
    <row r="266" spans="3:5">
      <c r="C266" s="87">
        <v>44370</v>
      </c>
      <c r="D266" s="88">
        <v>19.007999999999999</v>
      </c>
      <c r="E266" s="88"/>
    </row>
    <row r="267" spans="3:5">
      <c r="C267" s="87">
        <v>44371</v>
      </c>
      <c r="D267" s="88">
        <v>19.228000000000002</v>
      </c>
      <c r="E267" s="88"/>
    </row>
    <row r="268" spans="3:5">
      <c r="C268" s="87">
        <v>44372</v>
      </c>
      <c r="D268" s="88">
        <v>19.280999999999999</v>
      </c>
      <c r="E268" s="88"/>
    </row>
    <row r="269" spans="3:5">
      <c r="C269" s="87">
        <v>44375</v>
      </c>
      <c r="D269" s="88">
        <v>19.361000000000001</v>
      </c>
      <c r="E269" s="88"/>
    </row>
    <row r="270" spans="3:5">
      <c r="C270" s="87">
        <v>44376</v>
      </c>
      <c r="D270" s="88">
        <v>19.882999999999999</v>
      </c>
      <c r="E270" s="88"/>
    </row>
    <row r="271" spans="3:5">
      <c r="C271" s="87">
        <v>44377</v>
      </c>
      <c r="D271" s="88">
        <v>19.998999999999999</v>
      </c>
      <c r="E271" s="88"/>
    </row>
    <row r="272" spans="3:5">
      <c r="C272" s="87">
        <v>44378</v>
      </c>
      <c r="D272" s="88">
        <v>20.125</v>
      </c>
      <c r="E272" s="88"/>
    </row>
    <row r="273" spans="3:5">
      <c r="C273" s="87">
        <v>44379</v>
      </c>
      <c r="D273" s="88">
        <v>20.440000000000001</v>
      </c>
      <c r="E273" s="88"/>
    </row>
    <row r="274" spans="3:5">
      <c r="C274" s="87">
        <v>44383</v>
      </c>
      <c r="D274" s="88">
        <v>20.738</v>
      </c>
      <c r="E274" s="88"/>
    </row>
    <row r="275" spans="3:5">
      <c r="C275" s="87">
        <v>44384</v>
      </c>
      <c r="D275" s="88">
        <v>20.853999999999999</v>
      </c>
      <c r="E275" s="88"/>
    </row>
    <row r="276" spans="3:5">
      <c r="C276" s="87">
        <v>44385</v>
      </c>
      <c r="D276" s="88">
        <v>19.856999999999999</v>
      </c>
      <c r="E276" s="88"/>
    </row>
    <row r="277" spans="3:5">
      <c r="C277" s="87">
        <v>44386</v>
      </c>
      <c r="D277" s="88">
        <v>19.963000000000001</v>
      </c>
      <c r="E277" s="88"/>
    </row>
    <row r="278" spans="3:5">
      <c r="C278" s="87">
        <v>44389</v>
      </c>
      <c r="D278" s="88">
        <v>20.239999999999998</v>
      </c>
      <c r="E278" s="88"/>
    </row>
    <row r="279" spans="3:5">
      <c r="C279" s="87">
        <v>44390</v>
      </c>
      <c r="D279" s="88">
        <v>20.401</v>
      </c>
      <c r="E279" s="88"/>
    </row>
    <row r="280" spans="3:5">
      <c r="C280" s="87">
        <v>44391</v>
      </c>
      <c r="D280" s="88">
        <v>20.358000000000001</v>
      </c>
      <c r="E280" s="88"/>
    </row>
    <row r="281" spans="3:5">
      <c r="C281" s="87">
        <v>44392</v>
      </c>
      <c r="D281" s="88">
        <v>19.812000000000001</v>
      </c>
      <c r="E281" s="88"/>
    </row>
    <row r="282" spans="3:5">
      <c r="C282" s="87">
        <v>44393</v>
      </c>
      <c r="D282" s="88">
        <v>19.030999999999999</v>
      </c>
      <c r="E282" s="88"/>
    </row>
    <row r="283" spans="3:5">
      <c r="C283" s="87">
        <v>44396</v>
      </c>
      <c r="D283" s="88">
        <v>17.914999999999999</v>
      </c>
      <c r="E283" s="88"/>
    </row>
    <row r="284" spans="3:5">
      <c r="C284" s="87">
        <v>44397</v>
      </c>
      <c r="D284" s="88">
        <v>18.73</v>
      </c>
      <c r="E284" s="88"/>
    </row>
    <row r="285" spans="3:5">
      <c r="C285" s="87">
        <v>44398</v>
      </c>
      <c r="D285" s="88">
        <v>18.882000000000001</v>
      </c>
      <c r="E285" s="88"/>
    </row>
    <row r="286" spans="3:5">
      <c r="C286" s="87">
        <v>44399</v>
      </c>
      <c r="D286" s="88">
        <v>19.641999999999999</v>
      </c>
      <c r="E286" s="88"/>
    </row>
    <row r="287" spans="3:5">
      <c r="C287" s="87">
        <v>44400</v>
      </c>
      <c r="D287" s="88">
        <v>19.655999999999999</v>
      </c>
      <c r="E287" s="88"/>
    </row>
    <row r="288" spans="3:5">
      <c r="C288" s="87">
        <v>44403</v>
      </c>
      <c r="D288" s="88">
        <v>19.311</v>
      </c>
      <c r="E288" s="88"/>
    </row>
    <row r="289" spans="3:5">
      <c r="C289" s="87">
        <v>44404</v>
      </c>
      <c r="D289" s="88">
        <v>19.265000000000001</v>
      </c>
      <c r="E289" s="88"/>
    </row>
    <row r="290" spans="3:5">
      <c r="C290" s="87">
        <v>44405</v>
      </c>
      <c r="D290" s="88">
        <v>19.318999999999999</v>
      </c>
      <c r="E290" s="88"/>
    </row>
    <row r="291" spans="3:5">
      <c r="C291" s="87">
        <v>44406</v>
      </c>
      <c r="D291" s="88">
        <v>19.518999999999998</v>
      </c>
      <c r="E291" s="88"/>
    </row>
    <row r="292" spans="3:5">
      <c r="C292" s="87">
        <v>44407</v>
      </c>
      <c r="D292" s="88">
        <v>19.417999999999999</v>
      </c>
      <c r="E292" s="88"/>
    </row>
    <row r="293" spans="3:5">
      <c r="C293" s="87">
        <v>44410</v>
      </c>
      <c r="D293" s="88">
        <v>19.7</v>
      </c>
      <c r="E293" s="88"/>
    </row>
    <row r="294" spans="3:5">
      <c r="C294" s="87">
        <v>44411</v>
      </c>
      <c r="D294" s="88">
        <v>19.739999999999998</v>
      </c>
      <c r="E294" s="88"/>
    </row>
    <row r="295" spans="3:5">
      <c r="C295" s="87">
        <v>44412</v>
      </c>
      <c r="D295" s="88">
        <v>19.989999999999998</v>
      </c>
      <c r="E295" s="88"/>
    </row>
    <row r="296" spans="3:5">
      <c r="C296" s="87">
        <v>44413</v>
      </c>
      <c r="D296" s="88">
        <v>20.5</v>
      </c>
      <c r="E296" s="88"/>
    </row>
    <row r="297" spans="3:5">
      <c r="C297" s="87">
        <v>44414</v>
      </c>
      <c r="D297" s="88">
        <v>20.524000000000001</v>
      </c>
      <c r="E297" s="88"/>
    </row>
    <row r="298" spans="3:5">
      <c r="C298" s="87">
        <v>44417</v>
      </c>
      <c r="D298" s="88">
        <v>20.446000000000002</v>
      </c>
      <c r="E298" s="88"/>
    </row>
    <row r="299" spans="3:5">
      <c r="C299" s="87">
        <v>44418</v>
      </c>
      <c r="D299" s="88">
        <v>20.321999999999999</v>
      </c>
      <c r="E299" s="88"/>
    </row>
    <row r="300" spans="3:5">
      <c r="C300" s="87">
        <v>44419</v>
      </c>
      <c r="D300" s="88">
        <v>20.042999999999999</v>
      </c>
      <c r="E300" s="88"/>
    </row>
    <row r="301" spans="3:5">
      <c r="C301" s="87">
        <v>44420</v>
      </c>
      <c r="D301" s="88">
        <v>19.87</v>
      </c>
      <c r="E301" s="88"/>
    </row>
    <row r="302" spans="3:5">
      <c r="C302" s="87">
        <v>44421</v>
      </c>
      <c r="D302" s="88">
        <v>19.905000000000001</v>
      </c>
      <c r="E302" s="88"/>
    </row>
    <row r="303" spans="3:5">
      <c r="C303" s="87">
        <v>44424</v>
      </c>
      <c r="D303" s="88">
        <v>20.135000000000002</v>
      </c>
      <c r="E303" s="88"/>
    </row>
    <row r="304" spans="3:5">
      <c r="C304" s="87">
        <v>44425</v>
      </c>
      <c r="D304" s="88">
        <v>19.684999999999999</v>
      </c>
      <c r="E304" s="88"/>
    </row>
    <row r="305" spans="3:5">
      <c r="C305" s="87">
        <v>44426</v>
      </c>
      <c r="D305" s="88">
        <v>19.5</v>
      </c>
      <c r="E305" s="88"/>
    </row>
    <row r="306" spans="3:5">
      <c r="C306" s="87">
        <v>44427</v>
      </c>
      <c r="D306" s="88">
        <v>19.494</v>
      </c>
      <c r="E306" s="88"/>
    </row>
    <row r="307" spans="3:5">
      <c r="C307" s="87">
        <v>44428</v>
      </c>
      <c r="D307" s="88">
        <v>19.991</v>
      </c>
      <c r="E307" s="88"/>
    </row>
    <row r="308" spans="3:5">
      <c r="C308" s="87">
        <v>44431</v>
      </c>
      <c r="D308" s="88">
        <v>20.971</v>
      </c>
      <c r="E308" s="88"/>
    </row>
    <row r="309" spans="3:5">
      <c r="C309" s="87">
        <v>44432</v>
      </c>
      <c r="D309" s="88">
        <v>21.753</v>
      </c>
      <c r="E309" s="88"/>
    </row>
    <row r="310" spans="3:5">
      <c r="C310" s="87">
        <v>44433</v>
      </c>
      <c r="D310" s="88">
        <v>21.736999999999998</v>
      </c>
      <c r="E310" s="88"/>
    </row>
    <row r="311" spans="3:5">
      <c r="C311" s="87">
        <v>44434</v>
      </c>
      <c r="D311" s="88">
        <v>22.2</v>
      </c>
      <c r="E311" s="88"/>
    </row>
    <row r="312" spans="3:5">
      <c r="C312" s="87">
        <v>44435</v>
      </c>
      <c r="D312" s="88">
        <v>22.184000000000001</v>
      </c>
      <c r="E312" s="88"/>
    </row>
    <row r="313" spans="3:5">
      <c r="C313" s="87">
        <v>44438</v>
      </c>
      <c r="D313" s="88">
        <v>22.83</v>
      </c>
      <c r="E313" s="88"/>
    </row>
    <row r="314" spans="3:5">
      <c r="C314" s="87">
        <v>44439</v>
      </c>
      <c r="D314" s="88">
        <v>22.695</v>
      </c>
      <c r="E314" s="88"/>
    </row>
    <row r="315" spans="3:5">
      <c r="C315" s="87">
        <v>44440</v>
      </c>
      <c r="D315" s="88">
        <v>22.484999999999999</v>
      </c>
      <c r="E315" s="88"/>
    </row>
    <row r="316" spans="3:5">
      <c r="C316" s="87">
        <v>44441</v>
      </c>
      <c r="D316" s="88">
        <v>22.518000000000001</v>
      </c>
      <c r="E316" s="88"/>
    </row>
    <row r="317" spans="3:5">
      <c r="C317" s="87">
        <v>44442</v>
      </c>
      <c r="D317" s="88">
        <v>22.324999999999999</v>
      </c>
      <c r="E317" s="88"/>
    </row>
    <row r="318" spans="3:5">
      <c r="C318" s="87">
        <v>44446</v>
      </c>
      <c r="D318" s="88">
        <v>22.832999999999998</v>
      </c>
      <c r="E318" s="88"/>
    </row>
    <row r="319" spans="3:5">
      <c r="C319" s="87">
        <v>44447</v>
      </c>
      <c r="D319" s="88">
        <v>22.513000000000002</v>
      </c>
      <c r="E319" s="88"/>
    </row>
    <row r="320" spans="3:5">
      <c r="C320" s="87">
        <v>44448</v>
      </c>
      <c r="D320" s="88">
        <v>22.312000000000001</v>
      </c>
      <c r="E320" s="88"/>
    </row>
    <row r="321" spans="3:5">
      <c r="C321" s="87">
        <v>44449</v>
      </c>
      <c r="D321" s="88">
        <v>22.347999999999999</v>
      </c>
      <c r="E321" s="88"/>
    </row>
    <row r="322" spans="3:5">
      <c r="C322" s="87">
        <v>44452</v>
      </c>
      <c r="D322" s="88">
        <v>22.684000000000001</v>
      </c>
      <c r="E322" s="88"/>
    </row>
    <row r="323" spans="3:5">
      <c r="C323" s="87">
        <v>44453</v>
      </c>
      <c r="D323" s="88">
        <v>22.274999999999999</v>
      </c>
      <c r="E323" s="88"/>
    </row>
    <row r="324" spans="3:5">
      <c r="C324" s="87">
        <v>44454</v>
      </c>
      <c r="D324" s="88">
        <v>22.309000000000001</v>
      </c>
      <c r="E324" s="88"/>
    </row>
    <row r="325" spans="3:5">
      <c r="C325" s="87">
        <v>44455</v>
      </c>
      <c r="D325" s="88">
        <v>22.183</v>
      </c>
      <c r="E325" s="88"/>
    </row>
    <row r="326" spans="3:5">
      <c r="C326" s="87">
        <v>44456</v>
      </c>
      <c r="D326" s="88">
        <v>22.3</v>
      </c>
      <c r="E326" s="88"/>
    </row>
    <row r="327" spans="3:5">
      <c r="C327" s="87">
        <v>44459</v>
      </c>
      <c r="D327" s="88">
        <v>21.146000000000001</v>
      </c>
      <c r="E327" s="88"/>
    </row>
    <row r="328" spans="3:5">
      <c r="C328" s="87">
        <v>44460</v>
      </c>
      <c r="D328" s="88">
        <v>21.417000000000002</v>
      </c>
      <c r="E328" s="88"/>
    </row>
    <row r="329" spans="3:5">
      <c r="C329" s="87">
        <v>44461</v>
      </c>
      <c r="D329" s="88">
        <v>21.366</v>
      </c>
      <c r="E329" s="88"/>
    </row>
    <row r="330" spans="3:5">
      <c r="C330" s="87">
        <v>44462</v>
      </c>
      <c r="D330" s="88">
        <v>22.14</v>
      </c>
      <c r="E330" s="88"/>
    </row>
    <row r="331" spans="3:5">
      <c r="C331" s="87">
        <v>44463</v>
      </c>
      <c r="D331" s="88">
        <v>22.07</v>
      </c>
      <c r="E331" s="88"/>
    </row>
    <row r="332" spans="3:5">
      <c r="C332" s="87">
        <v>44466</v>
      </c>
      <c r="D332" s="88">
        <v>21.71</v>
      </c>
      <c r="E332" s="88"/>
    </row>
    <row r="333" spans="3:5">
      <c r="C333" s="87">
        <v>44467</v>
      </c>
      <c r="D333" s="88">
        <v>21.213999999999999</v>
      </c>
      <c r="E333" s="88"/>
    </row>
    <row r="334" spans="3:5">
      <c r="C334" s="87">
        <v>44468</v>
      </c>
      <c r="D334" s="88">
        <v>20.94</v>
      </c>
      <c r="E334" s="88"/>
    </row>
    <row r="335" spans="3:5">
      <c r="C335" s="87">
        <v>44469</v>
      </c>
      <c r="D335" s="88">
        <v>20.768000000000001</v>
      </c>
      <c r="E335" s="88"/>
    </row>
    <row r="336" spans="3:5">
      <c r="C336" s="87">
        <v>44470</v>
      </c>
      <c r="D336" s="88">
        <v>20.75</v>
      </c>
      <c r="E336" s="88"/>
    </row>
    <row r="337" spans="3:5">
      <c r="C337" s="87">
        <v>44473</v>
      </c>
      <c r="D337" s="88">
        <v>20.504000000000001</v>
      </c>
      <c r="E337" s="88"/>
    </row>
    <row r="338" spans="3:5">
      <c r="C338" s="87">
        <v>44474</v>
      </c>
      <c r="D338" s="88">
        <v>19.95</v>
      </c>
      <c r="E338" s="88"/>
    </row>
    <row r="339" spans="3:5">
      <c r="C339" s="87">
        <v>44475</v>
      </c>
      <c r="D339" s="88">
        <v>20.12</v>
      </c>
      <c r="E339" s="88"/>
    </row>
    <row r="340" spans="3:5">
      <c r="C340" s="87">
        <v>44476</v>
      </c>
      <c r="D340" s="88">
        <v>21.091999999999999</v>
      </c>
      <c r="E340" s="88"/>
    </row>
    <row r="341" spans="3:5">
      <c r="C341" s="87">
        <v>44477</v>
      </c>
      <c r="D341" s="88">
        <v>21.100999999999999</v>
      </c>
      <c r="E341" s="88"/>
    </row>
    <row r="342" spans="3:5">
      <c r="C342" s="87">
        <v>44480</v>
      </c>
      <c r="D342" s="88">
        <v>20.574999999999999</v>
      </c>
      <c r="E342" s="88"/>
    </row>
    <row r="343" spans="3:5">
      <c r="C343" s="87">
        <v>44481</v>
      </c>
      <c r="D343" s="88">
        <v>20.827999999999999</v>
      </c>
      <c r="E343" s="88"/>
    </row>
    <row r="344" spans="3:5">
      <c r="C344" s="87">
        <v>44482</v>
      </c>
      <c r="D344" s="88">
        <v>20.917999999999999</v>
      </c>
      <c r="E344" s="88"/>
    </row>
    <row r="345" spans="3:5">
      <c r="C345" s="87">
        <v>44483</v>
      </c>
      <c r="D345" s="88">
        <v>21.288</v>
      </c>
      <c r="E345" s="88"/>
    </row>
    <row r="346" spans="3:5">
      <c r="C346" s="87">
        <v>44484</v>
      </c>
      <c r="D346" s="88">
        <v>21.81</v>
      </c>
      <c r="E346" s="88"/>
    </row>
    <row r="347" spans="3:5">
      <c r="C347" s="87">
        <v>44487</v>
      </c>
      <c r="D347" s="88">
        <v>21.748999999999999</v>
      </c>
      <c r="E347" s="88"/>
    </row>
    <row r="348" spans="3:5">
      <c r="C348" s="87">
        <v>44488</v>
      </c>
      <c r="D348" s="88">
        <v>22.276</v>
      </c>
      <c r="E348" s="88"/>
    </row>
    <row r="349" spans="3:5">
      <c r="C349" s="87">
        <v>44489</v>
      </c>
      <c r="D349" s="88">
        <v>22.305</v>
      </c>
      <c r="E349" s="88"/>
    </row>
    <row r="350" spans="3:5">
      <c r="C350" s="87">
        <v>44490</v>
      </c>
      <c r="D350" s="88">
        <v>22.097000000000001</v>
      </c>
      <c r="E350" s="88"/>
    </row>
    <row r="351" spans="3:5">
      <c r="C351" s="87">
        <v>44491</v>
      </c>
      <c r="D351" s="88">
        <v>22.823</v>
      </c>
      <c r="E351" s="88"/>
    </row>
    <row r="352" spans="3:5">
      <c r="C352" s="87">
        <v>44494</v>
      </c>
      <c r="D352" s="88">
        <v>22.972999999999999</v>
      </c>
      <c r="E352" s="88"/>
    </row>
    <row r="353" spans="3:5">
      <c r="C353" s="87">
        <v>44495</v>
      </c>
      <c r="D353" s="88">
        <v>23.989000000000001</v>
      </c>
      <c r="E353" s="88"/>
    </row>
    <row r="354" spans="3:5">
      <c r="C354" s="87">
        <v>44496</v>
      </c>
      <c r="D354" s="88">
        <v>24.474</v>
      </c>
      <c r="E354" s="88"/>
    </row>
    <row r="355" spans="3:5">
      <c r="C355" s="87">
        <v>44497</v>
      </c>
      <c r="D355" s="88">
        <v>24.878</v>
      </c>
      <c r="E355" s="88"/>
    </row>
    <row r="356" spans="3:5">
      <c r="C356" s="87">
        <v>44498</v>
      </c>
      <c r="D356" s="88">
        <v>25.001000000000001</v>
      </c>
      <c r="E356" s="88"/>
    </row>
    <row r="357" spans="3:5">
      <c r="C357" s="87">
        <v>44501</v>
      </c>
      <c r="D357" s="88">
        <v>25.649000000000001</v>
      </c>
      <c r="E357" s="88"/>
    </row>
    <row r="358" spans="3:5">
      <c r="C358" s="87">
        <v>44502</v>
      </c>
      <c r="D358" s="88">
        <v>25.821999999999999</v>
      </c>
      <c r="E358" s="88"/>
    </row>
    <row r="359" spans="3:5">
      <c r="C359" s="87">
        <v>44503</v>
      </c>
      <c r="D359" s="88">
        <v>26.67</v>
      </c>
      <c r="E359" s="88"/>
    </row>
    <row r="360" spans="3:5">
      <c r="C360" s="87">
        <v>44504</v>
      </c>
      <c r="D360" s="88">
        <v>27.228999999999999</v>
      </c>
      <c r="E360" s="88"/>
    </row>
    <row r="361" spans="3:5">
      <c r="C361" s="87">
        <v>44505</v>
      </c>
      <c r="D361" s="88">
        <v>30.187000000000001</v>
      </c>
      <c r="E361" s="88"/>
    </row>
    <row r="362" spans="3:5">
      <c r="C362" s="87">
        <v>44508</v>
      </c>
      <c r="D362" s="88">
        <v>30.149000000000001</v>
      </c>
      <c r="E362" s="88"/>
    </row>
    <row r="363" spans="3:5">
      <c r="C363" s="87">
        <v>44509</v>
      </c>
      <c r="D363" s="88">
        <v>32.281999999999996</v>
      </c>
      <c r="E363" s="88"/>
    </row>
    <row r="364" spans="3:5">
      <c r="C364" s="87">
        <v>44510</v>
      </c>
      <c r="D364" s="88">
        <v>29.356000000000002</v>
      </c>
      <c r="E364" s="88"/>
    </row>
    <row r="365" spans="3:5">
      <c r="C365" s="87">
        <v>44511</v>
      </c>
      <c r="D365" s="88">
        <v>30.468</v>
      </c>
      <c r="E365" s="88"/>
    </row>
    <row r="366" spans="3:5">
      <c r="C366" s="87">
        <v>44512</v>
      </c>
      <c r="D366" s="88">
        <v>30.01</v>
      </c>
      <c r="E366" s="88"/>
    </row>
    <row r="367" spans="3:5">
      <c r="C367" s="87">
        <v>44515</v>
      </c>
      <c r="D367" s="88">
        <v>30.552</v>
      </c>
      <c r="E367" s="88"/>
    </row>
    <row r="368" spans="3:5">
      <c r="C368" s="87">
        <v>44516</v>
      </c>
      <c r="D368" s="88">
        <v>29.759</v>
      </c>
      <c r="E368" s="88"/>
    </row>
    <row r="369" spans="3:5">
      <c r="C369" s="87">
        <v>44517</v>
      </c>
      <c r="D369" s="88">
        <v>30.417999999999999</v>
      </c>
      <c r="E369" s="88"/>
    </row>
    <row r="370" spans="3:5">
      <c r="C370" s="87">
        <v>44518</v>
      </c>
      <c r="D370" s="88">
        <v>32.366999999999997</v>
      </c>
      <c r="E370" s="88"/>
    </row>
    <row r="371" spans="3:5">
      <c r="C371" s="87">
        <v>44519</v>
      </c>
      <c r="D371" s="88">
        <v>32.243000000000002</v>
      </c>
      <c r="E371" s="88"/>
    </row>
    <row r="372" spans="3:5">
      <c r="C372" s="87">
        <v>44522</v>
      </c>
      <c r="D372" s="88">
        <v>33.517000000000003</v>
      </c>
      <c r="E372" s="88"/>
    </row>
    <row r="373" spans="3:5">
      <c r="C373" s="87">
        <v>44523</v>
      </c>
      <c r="D373" s="88">
        <v>31.535</v>
      </c>
      <c r="E373" s="88"/>
    </row>
    <row r="374" spans="3:5">
      <c r="C374" s="87">
        <v>44524</v>
      </c>
      <c r="D374" s="88">
        <v>31.460999999999999</v>
      </c>
      <c r="E374" s="88"/>
    </row>
    <row r="375" spans="3:5">
      <c r="C375" s="87">
        <v>44526</v>
      </c>
      <c r="D375" s="88">
        <v>32.6</v>
      </c>
      <c r="E375" s="88"/>
    </row>
    <row r="376" spans="3:5">
      <c r="C376" s="87">
        <v>44529</v>
      </c>
      <c r="D376" s="88">
        <v>32.366</v>
      </c>
      <c r="E376" s="88"/>
    </row>
    <row r="377" spans="3:5">
      <c r="C377" s="87">
        <v>44530</v>
      </c>
      <c r="D377" s="88">
        <v>33.168999999999997</v>
      </c>
      <c r="E377" s="88"/>
    </row>
    <row r="378" spans="3:5">
      <c r="C378" s="87">
        <v>44531</v>
      </c>
      <c r="D378" s="88">
        <v>33.219000000000001</v>
      </c>
      <c r="E378" s="88"/>
    </row>
    <row r="379" spans="3:5">
      <c r="C379" s="87">
        <v>44532</v>
      </c>
      <c r="D379" s="88">
        <v>31.213999999999999</v>
      </c>
      <c r="E379" s="88"/>
    </row>
    <row r="380" spans="3:5">
      <c r="C380" s="87">
        <v>44533</v>
      </c>
      <c r="D380" s="88">
        <v>32</v>
      </c>
      <c r="E380" s="88"/>
    </row>
    <row r="381" spans="3:5">
      <c r="C381" s="87">
        <v>44536</v>
      </c>
      <c r="D381" s="88">
        <v>29.88</v>
      </c>
      <c r="E381" s="88"/>
    </row>
    <row r="382" spans="3:5">
      <c r="C382" s="87">
        <v>44537</v>
      </c>
      <c r="D382" s="88">
        <v>30.957000000000001</v>
      </c>
      <c r="E382" s="88"/>
    </row>
    <row r="383" spans="3:5">
      <c r="C383" s="87">
        <v>44538</v>
      </c>
      <c r="D383" s="88">
        <v>31.998999999999999</v>
      </c>
      <c r="E383" s="88"/>
    </row>
    <row r="384" spans="3:5">
      <c r="C384" s="87">
        <v>44539</v>
      </c>
      <c r="D384" s="88">
        <v>31.734000000000002</v>
      </c>
      <c r="E384" s="88"/>
    </row>
    <row r="385" spans="3:5">
      <c r="C385" s="87">
        <v>44540</v>
      </c>
      <c r="D385" s="88">
        <v>31.15</v>
      </c>
      <c r="E385" s="88"/>
    </row>
    <row r="386" spans="3:5">
      <c r="C386" s="87">
        <v>44543</v>
      </c>
      <c r="D386" s="88">
        <v>30.248999999999999</v>
      </c>
      <c r="E386" s="88"/>
    </row>
    <row r="387" spans="3:5">
      <c r="C387" s="87">
        <v>44544</v>
      </c>
      <c r="D387" s="88">
        <v>27.699000000000002</v>
      </c>
      <c r="E387" s="88"/>
    </row>
    <row r="388" spans="3:5">
      <c r="C388" s="87">
        <v>44545</v>
      </c>
      <c r="D388" s="88">
        <v>28.4</v>
      </c>
      <c r="E388" s="88"/>
    </row>
    <row r="389" spans="3:5">
      <c r="C389" s="87">
        <v>44546</v>
      </c>
      <c r="D389" s="88">
        <v>31.152000000000001</v>
      </c>
      <c r="E389" s="88"/>
    </row>
    <row r="390" spans="3:5">
      <c r="C390" s="87">
        <v>44547</v>
      </c>
      <c r="D390" s="88">
        <v>27.984999999999999</v>
      </c>
      <c r="E390" s="88"/>
    </row>
    <row r="391" spans="3:5">
      <c r="C391" s="87">
        <v>44550</v>
      </c>
      <c r="D391" s="88">
        <v>27.305</v>
      </c>
      <c r="E391" s="88"/>
    </row>
    <row r="392" spans="3:5">
      <c r="C392" s="87">
        <v>44551</v>
      </c>
      <c r="D392" s="88">
        <v>28.373999999999999</v>
      </c>
      <c r="E392" s="88"/>
    </row>
    <row r="393" spans="3:5">
      <c r="C393" s="87">
        <v>44552</v>
      </c>
      <c r="D393" s="88">
        <v>28.890999999999998</v>
      </c>
      <c r="E393" s="88"/>
    </row>
    <row r="394" spans="3:5">
      <c r="C394" s="87">
        <v>44553</v>
      </c>
      <c r="D394" s="88">
        <v>29.754999999999999</v>
      </c>
      <c r="E394" s="88"/>
    </row>
    <row r="395" spans="3:5">
      <c r="C395" s="87">
        <v>44557</v>
      </c>
      <c r="D395" s="88">
        <v>29.66</v>
      </c>
      <c r="E395" s="88"/>
    </row>
    <row r="396" spans="3:5">
      <c r="C396" s="87">
        <v>44558</v>
      </c>
      <c r="D396" s="88">
        <v>31.312000000000001</v>
      </c>
      <c r="E396" s="88"/>
    </row>
    <row r="397" spans="3:5">
      <c r="C397" s="87">
        <v>44559</v>
      </c>
      <c r="D397" s="88">
        <v>30.273</v>
      </c>
      <c r="E397" s="88"/>
    </row>
    <row r="398" spans="3:5">
      <c r="C398" s="87">
        <v>44560</v>
      </c>
      <c r="D398" s="88">
        <v>29.827000000000002</v>
      </c>
      <c r="E398" s="88"/>
    </row>
    <row r="399" spans="3:5">
      <c r="C399" s="87">
        <v>44561</v>
      </c>
      <c r="D399" s="88">
        <v>29.673999999999999</v>
      </c>
      <c r="E399" s="88"/>
    </row>
    <row r="400" spans="3:5">
      <c r="C400" s="87">
        <v>44564</v>
      </c>
      <c r="D400" s="88">
        <v>29.815000000000001</v>
      </c>
      <c r="E400" s="88"/>
    </row>
    <row r="401" spans="3:5">
      <c r="C401" s="87">
        <v>44565</v>
      </c>
      <c r="D401" s="88">
        <v>30.277000000000001</v>
      </c>
      <c r="E401" s="88"/>
    </row>
    <row r="402" spans="3:5">
      <c r="C402" s="87">
        <v>44566</v>
      </c>
      <c r="D402" s="88">
        <v>28.949000000000002</v>
      </c>
      <c r="E402" s="88"/>
    </row>
    <row r="403" spans="3:5">
      <c r="C403" s="87">
        <v>44567</v>
      </c>
      <c r="D403" s="88">
        <v>27.64</v>
      </c>
      <c r="E403" s="88"/>
    </row>
    <row r="404" spans="3:5">
      <c r="C404" s="87">
        <v>44568</v>
      </c>
      <c r="D404" s="88">
        <v>28.140999999999998</v>
      </c>
      <c r="E404" s="88"/>
    </row>
    <row r="405" spans="3:5">
      <c r="C405" s="87">
        <v>44571</v>
      </c>
      <c r="D405" s="88">
        <v>26.581</v>
      </c>
      <c r="E405" s="88"/>
    </row>
    <row r="406" spans="3:5">
      <c r="C406" s="87">
        <v>44572</v>
      </c>
      <c r="D406" s="88">
        <v>27.323</v>
      </c>
      <c r="E406" s="88"/>
    </row>
    <row r="407" spans="3:5">
      <c r="C407" s="87">
        <v>44573</v>
      </c>
      <c r="D407" s="88">
        <v>28.067</v>
      </c>
      <c r="E407" s="88"/>
    </row>
    <row r="408" spans="3:5">
      <c r="C408" s="87">
        <v>44574</v>
      </c>
      <c r="D408" s="88">
        <v>28.379000000000001</v>
      </c>
      <c r="E408" s="88"/>
    </row>
    <row r="409" spans="3:5">
      <c r="C409" s="87">
        <v>44575</v>
      </c>
      <c r="D409" s="88">
        <v>26.3</v>
      </c>
      <c r="E409" s="88"/>
    </row>
    <row r="410" spans="3:5">
      <c r="C410" s="87">
        <v>44579</v>
      </c>
      <c r="D410" s="88">
        <v>26.26</v>
      </c>
      <c r="E410" s="88"/>
    </row>
    <row r="411" spans="3:5">
      <c r="C411" s="87">
        <v>44580</v>
      </c>
      <c r="D411" s="88">
        <v>26.079000000000001</v>
      </c>
      <c r="E411" s="88"/>
    </row>
    <row r="412" spans="3:5">
      <c r="C412" s="87">
        <v>44581</v>
      </c>
      <c r="D412" s="88">
        <v>25.303999999999998</v>
      </c>
      <c r="E412" s="88"/>
    </row>
    <row r="413" spans="3:5">
      <c r="C413" s="87">
        <v>44582</v>
      </c>
      <c r="D413" s="88">
        <v>23.507000000000001</v>
      </c>
      <c r="E413" s="88"/>
    </row>
    <row r="414" spans="3:5">
      <c r="C414" s="87">
        <v>44585</v>
      </c>
      <c r="D414" s="88">
        <v>22.33</v>
      </c>
      <c r="E414" s="88"/>
    </row>
    <row r="415" spans="3:5">
      <c r="C415" s="87">
        <v>44586</v>
      </c>
      <c r="D415" s="88">
        <v>22.545999999999999</v>
      </c>
      <c r="E415" s="88"/>
    </row>
    <row r="416" spans="3:5">
      <c r="C416" s="87">
        <v>44587</v>
      </c>
      <c r="D416" s="88">
        <v>23.24</v>
      </c>
      <c r="E416" s="88"/>
    </row>
    <row r="417" spans="3:5">
      <c r="C417" s="87">
        <v>44588</v>
      </c>
      <c r="D417" s="88">
        <v>23.568000000000001</v>
      </c>
      <c r="E417" s="88"/>
    </row>
    <row r="418" spans="3:5">
      <c r="C418" s="87">
        <v>44589</v>
      </c>
      <c r="D418" s="88">
        <v>22.012</v>
      </c>
      <c r="E418" s="88"/>
    </row>
    <row r="419" spans="3:5">
      <c r="C419" s="87">
        <v>44592</v>
      </c>
      <c r="D419" s="88">
        <v>23.181999999999999</v>
      </c>
      <c r="E419" s="88"/>
    </row>
    <row r="420" spans="3:5">
      <c r="C420" s="87">
        <v>44593</v>
      </c>
      <c r="D420" s="88">
        <v>25.103999999999999</v>
      </c>
      <c r="E420" s="88"/>
    </row>
    <row r="421" spans="3:5">
      <c r="C421" s="87">
        <v>44594</v>
      </c>
      <c r="D421" s="88">
        <v>25.794</v>
      </c>
      <c r="E421" s="88"/>
    </row>
    <row r="422" spans="3:5">
      <c r="C422" s="87">
        <v>44595</v>
      </c>
      <c r="D422" s="88">
        <v>24.457999999999998</v>
      </c>
      <c r="E422" s="88"/>
    </row>
    <row r="423" spans="3:5">
      <c r="C423" s="87">
        <v>44596</v>
      </c>
      <c r="D423" s="88">
        <v>23.972000000000001</v>
      </c>
      <c r="E423" s="88"/>
    </row>
    <row r="424" spans="3:5">
      <c r="C424" s="87">
        <v>44599</v>
      </c>
      <c r="D424" s="88">
        <v>24.372</v>
      </c>
      <c r="E424" s="88"/>
    </row>
    <row r="425" spans="3:5">
      <c r="C425" s="87">
        <v>44600</v>
      </c>
      <c r="D425" s="88">
        <v>24.359000000000002</v>
      </c>
      <c r="E425" s="88"/>
    </row>
    <row r="426" spans="3:5">
      <c r="C426" s="87">
        <v>44601</v>
      </c>
      <c r="D426" s="88">
        <v>25.622</v>
      </c>
      <c r="E426" s="88"/>
    </row>
    <row r="427" spans="3:5">
      <c r="C427" s="87">
        <v>44602</v>
      </c>
      <c r="D427" s="88">
        <v>25.995000000000001</v>
      </c>
      <c r="E427" s="88"/>
    </row>
    <row r="428" spans="3:5">
      <c r="C428" s="87">
        <v>44603</v>
      </c>
      <c r="D428" s="88">
        <v>25.916</v>
      </c>
      <c r="E428" s="88"/>
    </row>
    <row r="429" spans="3:5">
      <c r="C429" s="87">
        <v>44606</v>
      </c>
      <c r="D429" s="88">
        <v>23.934000000000001</v>
      </c>
      <c r="E429" s="88"/>
    </row>
    <row r="430" spans="3:5">
      <c r="C430" s="87">
        <v>44607</v>
      </c>
      <c r="D430" s="88">
        <v>24.266999999999999</v>
      </c>
      <c r="E430" s="88"/>
    </row>
    <row r="431" spans="3:5">
      <c r="C431" s="87">
        <v>44608</v>
      </c>
      <c r="D431" s="88">
        <v>26.259</v>
      </c>
      <c r="E431" s="88"/>
    </row>
    <row r="432" spans="3:5">
      <c r="C432" s="87">
        <v>44609</v>
      </c>
      <c r="D432" s="88">
        <v>25.63</v>
      </c>
      <c r="E432" s="88"/>
    </row>
    <row r="433" spans="3:5">
      <c r="C433" s="87">
        <v>44610</v>
      </c>
      <c r="D433" s="88">
        <v>24.667999999999999</v>
      </c>
      <c r="E433" s="88"/>
    </row>
    <row r="434" spans="3:5">
      <c r="C434" s="87">
        <v>44614</v>
      </c>
      <c r="D434" s="88">
        <v>23.035</v>
      </c>
      <c r="E434" s="88"/>
    </row>
    <row r="435" spans="3:5">
      <c r="C435" s="87">
        <v>44615</v>
      </c>
      <c r="D435" s="88">
        <v>23.802</v>
      </c>
      <c r="E435" s="88"/>
    </row>
    <row r="436" spans="3:5">
      <c r="C436" s="87">
        <v>44616</v>
      </c>
      <c r="D436" s="88">
        <v>21.015000000000001</v>
      </c>
      <c r="E436" s="88"/>
    </row>
    <row r="437" spans="3:5">
      <c r="C437" s="87">
        <v>44617</v>
      </c>
      <c r="D437" s="88">
        <v>23.721</v>
      </c>
      <c r="E437" s="88"/>
    </row>
    <row r="438" spans="3:5">
      <c r="C438" s="87">
        <v>44620</v>
      </c>
      <c r="D438" s="88">
        <v>23.992000000000001</v>
      </c>
      <c r="E438" s="88"/>
    </row>
    <row r="439" spans="3:5">
      <c r="C439" s="87">
        <v>44621</v>
      </c>
      <c r="D439" s="88">
        <v>24.291</v>
      </c>
      <c r="E439" s="88"/>
    </row>
    <row r="440" spans="3:5">
      <c r="C440" s="87">
        <v>44622</v>
      </c>
      <c r="D440" s="88">
        <v>23.756</v>
      </c>
      <c r="E440" s="88"/>
    </row>
    <row r="441" spans="3:5">
      <c r="C441" s="87">
        <v>44623</v>
      </c>
      <c r="D441" s="88">
        <v>24.262</v>
      </c>
      <c r="E441" s="88"/>
    </row>
    <row r="442" spans="3:5">
      <c r="C442" s="87">
        <v>44624</v>
      </c>
      <c r="D442" s="88">
        <v>23.384</v>
      </c>
      <c r="E442" s="88"/>
    </row>
    <row r="443" spans="3:5">
      <c r="C443" s="87">
        <v>44627</v>
      </c>
      <c r="D443" s="88">
        <v>22.817</v>
      </c>
      <c r="E443" s="88"/>
    </row>
    <row r="444" spans="3:5">
      <c r="C444" s="87">
        <v>44628</v>
      </c>
      <c r="D444" s="88">
        <v>21.309000000000001</v>
      </c>
      <c r="E444" s="88"/>
    </row>
    <row r="445" spans="3:5">
      <c r="C445" s="87">
        <v>44629</v>
      </c>
      <c r="D445" s="88">
        <v>22.387</v>
      </c>
      <c r="E445" s="88"/>
    </row>
    <row r="446" spans="3:5">
      <c r="C446" s="87">
        <v>44630</v>
      </c>
      <c r="D446" s="88">
        <v>22.530999999999999</v>
      </c>
      <c r="E446" s="88"/>
    </row>
    <row r="447" spans="3:5">
      <c r="C447" s="87">
        <v>44631</v>
      </c>
      <c r="D447" s="88">
        <v>23.021999999999998</v>
      </c>
      <c r="E447" s="88"/>
    </row>
    <row r="448" spans="3:5">
      <c r="C448" s="87">
        <v>44634</v>
      </c>
      <c r="D448" s="88">
        <v>21.869</v>
      </c>
      <c r="E448" s="88"/>
    </row>
    <row r="449" spans="3:5">
      <c r="C449" s="87">
        <v>44635</v>
      </c>
      <c r="D449" s="88">
        <v>21.518000000000001</v>
      </c>
      <c r="E449" s="88"/>
    </row>
    <row r="450" spans="3:5">
      <c r="C450" s="87">
        <v>44636</v>
      </c>
      <c r="D450" s="88">
        <v>23.5</v>
      </c>
      <c r="E450" s="88"/>
    </row>
    <row r="451" spans="3:5">
      <c r="C451" s="87">
        <v>44637</v>
      </c>
      <c r="D451" s="88">
        <v>24.12</v>
      </c>
      <c r="E451" s="88"/>
    </row>
    <row r="452" spans="3:5">
      <c r="C452" s="87">
        <v>44638</v>
      </c>
      <c r="D452" s="88">
        <v>24.798999999999999</v>
      </c>
      <c r="E452" s="88"/>
    </row>
    <row r="453" spans="3:5">
      <c r="C453" s="87">
        <v>44641</v>
      </c>
      <c r="D453" s="88">
        <v>26.507000000000001</v>
      </c>
      <c r="E453" s="88"/>
    </row>
    <row r="454" spans="3:5">
      <c r="C454" s="87">
        <v>44642</v>
      </c>
      <c r="D454" s="88">
        <v>26.727</v>
      </c>
      <c r="E454" s="88"/>
    </row>
    <row r="455" spans="3:5">
      <c r="C455" s="87">
        <v>44643</v>
      </c>
      <c r="D455" s="88">
        <v>26.126000000000001</v>
      </c>
      <c r="E455" s="88"/>
    </row>
    <row r="456" spans="3:5">
      <c r="C456" s="87">
        <v>44644</v>
      </c>
      <c r="D456" s="88">
        <v>26.166</v>
      </c>
      <c r="E456" s="88"/>
    </row>
    <row r="457" spans="3:5">
      <c r="C457" s="87">
        <v>44645</v>
      </c>
      <c r="D457" s="88">
        <v>27.885999999999999</v>
      </c>
      <c r="E457" s="88"/>
    </row>
    <row r="458" spans="3:5">
      <c r="C458" s="87">
        <v>44648</v>
      </c>
      <c r="D458" s="88">
        <v>27.756</v>
      </c>
      <c r="E458" s="88"/>
    </row>
    <row r="459" spans="3:5">
      <c r="C459" s="87">
        <v>44649</v>
      </c>
      <c r="D459" s="88">
        <v>28.695</v>
      </c>
      <c r="E459" s="88"/>
    </row>
    <row r="460" spans="3:5">
      <c r="C460" s="87">
        <v>44650</v>
      </c>
      <c r="D460" s="88">
        <v>28.303999999999998</v>
      </c>
      <c r="E460" s="88"/>
    </row>
    <row r="461" spans="3:5">
      <c r="C461" s="87">
        <v>44651</v>
      </c>
      <c r="D461" s="88">
        <v>27.782</v>
      </c>
      <c r="E461" s="88"/>
    </row>
    <row r="462" spans="3:5">
      <c r="C462" s="87">
        <v>44652</v>
      </c>
      <c r="D462" s="88">
        <v>27.375</v>
      </c>
      <c r="E462" s="88"/>
    </row>
    <row r="463" spans="3:5">
      <c r="C463" s="87">
        <v>44655</v>
      </c>
      <c r="D463" s="88">
        <v>26.728000000000002</v>
      </c>
      <c r="E463" s="88"/>
    </row>
    <row r="464" spans="3:5">
      <c r="C464" s="87">
        <v>44656</v>
      </c>
      <c r="D464" s="88">
        <v>27.254000000000001</v>
      </c>
      <c r="E464" s="88"/>
    </row>
    <row r="465" spans="3:5">
      <c r="C465" s="87">
        <v>44657</v>
      </c>
      <c r="D465" s="88">
        <v>24.934000000000001</v>
      </c>
      <c r="E465" s="88"/>
    </row>
    <row r="466" spans="3:5">
      <c r="C466" s="87">
        <v>44658</v>
      </c>
      <c r="D466" s="88">
        <v>24.440999999999999</v>
      </c>
      <c r="E466" s="88"/>
    </row>
    <row r="467" spans="3:5">
      <c r="C467" s="87">
        <v>44659</v>
      </c>
      <c r="D467" s="88">
        <v>23.917000000000002</v>
      </c>
      <c r="E467" s="88"/>
    </row>
    <row r="468" spans="3:5">
      <c r="C468" s="87">
        <v>44662</v>
      </c>
      <c r="D468" s="88">
        <v>22.213999999999999</v>
      </c>
      <c r="E468" s="88"/>
    </row>
    <row r="469" spans="3:5">
      <c r="C469" s="87">
        <v>44663</v>
      </c>
      <c r="D469" s="88">
        <v>22.536999999999999</v>
      </c>
      <c r="E469" s="88"/>
    </row>
    <row r="470" spans="3:5">
      <c r="C470" s="87">
        <v>44664</v>
      </c>
      <c r="D470" s="88">
        <v>21.728000000000002</v>
      </c>
      <c r="E470" s="88"/>
    </row>
    <row r="471" spans="3:5">
      <c r="C471" s="87">
        <v>44665</v>
      </c>
      <c r="D471" s="88">
        <v>22.504999999999999</v>
      </c>
      <c r="E471" s="88"/>
    </row>
    <row r="472" spans="3:5">
      <c r="C472" s="87">
        <v>44669</v>
      </c>
      <c r="D472" s="88">
        <v>21.2</v>
      </c>
      <c r="E472" s="88"/>
    </row>
    <row r="473" spans="3:5">
      <c r="C473" s="87">
        <v>44670</v>
      </c>
      <c r="D473" s="88">
        <v>21.72</v>
      </c>
      <c r="E473" s="88"/>
    </row>
    <row r="474" spans="3:5">
      <c r="C474" s="87">
        <v>44671</v>
      </c>
      <c r="D474" s="88">
        <v>22.516999999999999</v>
      </c>
      <c r="E474" s="88"/>
    </row>
    <row r="475" spans="3:5">
      <c r="C475" s="87">
        <v>44672</v>
      </c>
      <c r="D475" s="88">
        <v>21.709</v>
      </c>
      <c r="E475" s="88"/>
    </row>
    <row r="476" spans="3:5">
      <c r="C476" s="87">
        <v>44673</v>
      </c>
      <c r="D476" s="88">
        <v>20.303000000000001</v>
      </c>
      <c r="E476" s="88"/>
    </row>
    <row r="477" spans="3:5">
      <c r="C477" s="87">
        <v>44676</v>
      </c>
      <c r="D477" s="88">
        <v>19.202000000000002</v>
      </c>
      <c r="E477" s="88"/>
    </row>
    <row r="478" spans="3:5">
      <c r="C478" s="87">
        <v>44677</v>
      </c>
      <c r="D478" s="88">
        <v>19.718</v>
      </c>
      <c r="E478" s="88"/>
    </row>
    <row r="479" spans="3:5">
      <c r="C479" s="87">
        <v>44678</v>
      </c>
      <c r="D479" s="88">
        <v>18.597999999999999</v>
      </c>
      <c r="E479" s="88"/>
    </row>
    <row r="480" spans="3:5">
      <c r="C480" s="87">
        <v>44679</v>
      </c>
      <c r="D480" s="88">
        <v>18.966999999999999</v>
      </c>
      <c r="E480" s="88"/>
    </row>
    <row r="481" spans="3:5">
      <c r="C481" s="87">
        <v>44680</v>
      </c>
      <c r="D481" s="88">
        <v>19.402000000000001</v>
      </c>
      <c r="E481" s="88"/>
    </row>
    <row r="482" spans="3:5">
      <c r="C482" s="87">
        <v>44683</v>
      </c>
      <c r="D482" s="88">
        <v>18.541</v>
      </c>
      <c r="E482" s="88"/>
    </row>
    <row r="483" spans="3:5">
      <c r="C483" s="87">
        <v>44684</v>
      </c>
      <c r="D483" s="88">
        <v>19.399999999999999</v>
      </c>
      <c r="E483" s="88"/>
    </row>
    <row r="484" spans="3:5">
      <c r="C484" s="87">
        <v>44685</v>
      </c>
      <c r="D484" s="88">
        <v>19.922999999999998</v>
      </c>
      <c r="E484" s="88"/>
    </row>
    <row r="485" spans="3:5">
      <c r="C485" s="87">
        <v>44686</v>
      </c>
      <c r="D485" s="88">
        <v>19.867000000000001</v>
      </c>
      <c r="E485" s="88"/>
    </row>
    <row r="486" spans="3:5">
      <c r="C486" s="87">
        <v>44687</v>
      </c>
      <c r="D486" s="88">
        <v>18.736000000000001</v>
      </c>
      <c r="E486" s="88"/>
    </row>
    <row r="487" spans="3:5">
      <c r="C487" s="87">
        <v>44690</v>
      </c>
      <c r="D487" s="88">
        <v>18.033999999999999</v>
      </c>
      <c r="E487" s="88"/>
    </row>
    <row r="488" spans="3:5">
      <c r="C488" s="87">
        <v>44691</v>
      </c>
      <c r="D488" s="88">
        <v>17.689</v>
      </c>
      <c r="E488" s="88"/>
    </row>
    <row r="489" spans="3:5">
      <c r="C489" s="87">
        <v>44692</v>
      </c>
      <c r="D489" s="88">
        <v>17.347000000000001</v>
      </c>
      <c r="E489" s="88"/>
    </row>
    <row r="490" spans="3:5">
      <c r="C490" s="87">
        <v>44693</v>
      </c>
      <c r="D490" s="88">
        <v>16.219000000000001</v>
      </c>
      <c r="E490" s="88"/>
    </row>
    <row r="491" spans="3:5">
      <c r="C491" s="87">
        <v>44694</v>
      </c>
      <c r="D491" s="88">
        <v>16.788</v>
      </c>
      <c r="E491" s="88"/>
    </row>
    <row r="492" spans="3:5">
      <c r="C492" s="87">
        <v>44697</v>
      </c>
      <c r="D492" s="88">
        <v>17.509</v>
      </c>
      <c r="E492" s="88"/>
    </row>
    <row r="493" spans="3:5">
      <c r="C493" s="87">
        <v>44698</v>
      </c>
      <c r="D493" s="88">
        <v>18.074000000000002</v>
      </c>
      <c r="E493" s="88"/>
    </row>
    <row r="494" spans="3:5">
      <c r="C494" s="87">
        <v>44699</v>
      </c>
      <c r="D494" s="88">
        <v>17.704999999999998</v>
      </c>
      <c r="E494" s="88"/>
    </row>
    <row r="495" spans="3:5">
      <c r="C495" s="87">
        <v>44700</v>
      </c>
      <c r="D495" s="88">
        <v>16.937000000000001</v>
      </c>
      <c r="E495" s="88"/>
    </row>
    <row r="496" spans="3:5">
      <c r="C496" s="87">
        <v>44701</v>
      </c>
      <c r="D496" s="88">
        <v>17.332000000000001</v>
      </c>
      <c r="E496" s="88"/>
    </row>
    <row r="497" spans="3:5">
      <c r="C497" s="87">
        <v>44704</v>
      </c>
      <c r="D497" s="88">
        <v>16.274000000000001</v>
      </c>
      <c r="E497" s="88"/>
    </row>
    <row r="498" spans="3:5">
      <c r="C498" s="87">
        <v>44705</v>
      </c>
      <c r="D498" s="88">
        <v>16.510000000000002</v>
      </c>
      <c r="E498" s="88"/>
    </row>
    <row r="499" spans="3:5">
      <c r="C499" s="87">
        <v>44706</v>
      </c>
      <c r="D499" s="88">
        <v>16.02</v>
      </c>
      <c r="E499" s="88"/>
    </row>
    <row r="500" spans="3:5">
      <c r="C500" s="87">
        <v>44707</v>
      </c>
      <c r="D500" s="88">
        <v>16.036000000000001</v>
      </c>
      <c r="E500" s="88"/>
    </row>
    <row r="501" spans="3:5">
      <c r="C501" s="87">
        <v>44708</v>
      </c>
      <c r="D501" s="88">
        <v>18.186</v>
      </c>
      <c r="E501" s="88"/>
    </row>
    <row r="502" spans="3:5">
      <c r="C502" s="87">
        <v>44712</v>
      </c>
      <c r="D502" s="88">
        <v>18.98</v>
      </c>
      <c r="E502" s="88"/>
    </row>
    <row r="503" spans="3:5">
      <c r="C503" s="87">
        <v>44713</v>
      </c>
      <c r="D503" s="88">
        <v>18.724</v>
      </c>
      <c r="E503" s="88"/>
    </row>
    <row r="504" spans="3:5">
      <c r="C504" s="87">
        <v>44714</v>
      </c>
      <c r="D504" s="88">
        <v>18.292000000000002</v>
      </c>
      <c r="E504" s="88"/>
    </row>
    <row r="505" spans="3:5">
      <c r="C505" s="87">
        <v>44715</v>
      </c>
      <c r="D505" s="88">
        <v>19.082000000000001</v>
      </c>
      <c r="E505" s="88"/>
    </row>
    <row r="506" spans="3:5">
      <c r="C506" s="87">
        <v>44718</v>
      </c>
      <c r="D506" s="88">
        <v>19.138999999999999</v>
      </c>
      <c r="E506" s="88"/>
    </row>
    <row r="507" spans="3:5">
      <c r="C507" s="87">
        <v>44719</v>
      </c>
      <c r="D507" s="88">
        <v>18.472000000000001</v>
      </c>
      <c r="E507" s="88"/>
    </row>
    <row r="508" spans="3:5">
      <c r="C508" s="87">
        <v>44720</v>
      </c>
      <c r="D508" s="88">
        <v>18.798999999999999</v>
      </c>
      <c r="E508" s="88"/>
    </row>
    <row r="509" spans="3:5">
      <c r="C509" s="87">
        <v>44721</v>
      </c>
      <c r="D509" s="88">
        <v>18.481000000000002</v>
      </c>
      <c r="E509" s="88"/>
    </row>
    <row r="510" spans="3:5">
      <c r="C510" s="87">
        <v>44722</v>
      </c>
      <c r="D510" s="88">
        <v>17.600000000000001</v>
      </c>
      <c r="E510" s="88"/>
    </row>
    <row r="511" spans="3:5">
      <c r="C511" s="87">
        <v>44725</v>
      </c>
      <c r="D511" s="88">
        <v>16</v>
      </c>
      <c r="E511" s="88"/>
    </row>
    <row r="512" spans="3:5">
      <c r="C512" s="87">
        <v>44726</v>
      </c>
      <c r="D512" s="88">
        <v>15.731</v>
      </c>
      <c r="E512" s="88"/>
    </row>
    <row r="513" spans="3:5">
      <c r="C513" s="87">
        <v>44727</v>
      </c>
      <c r="D513" s="88">
        <v>16.094999999999999</v>
      </c>
      <c r="E513" s="88"/>
    </row>
    <row r="514" spans="3:5">
      <c r="C514" s="87">
        <v>44728</v>
      </c>
      <c r="D514" s="88">
        <v>15.86</v>
      </c>
      <c r="E514" s="88"/>
    </row>
    <row r="515" spans="3:5">
      <c r="C515" s="87">
        <v>44729</v>
      </c>
      <c r="D515" s="88">
        <v>15.648</v>
      </c>
      <c r="E515" s="88"/>
    </row>
    <row r="516" spans="3:5">
      <c r="C516" s="87">
        <v>44733</v>
      </c>
      <c r="D516" s="88">
        <v>16.475000000000001</v>
      </c>
      <c r="E516" s="88"/>
    </row>
    <row r="517" spans="3:5">
      <c r="C517" s="87">
        <v>44734</v>
      </c>
      <c r="D517" s="88">
        <v>16.225999999999999</v>
      </c>
      <c r="E517" s="88"/>
    </row>
    <row r="518" spans="3:5">
      <c r="C518" s="87">
        <v>44735</v>
      </c>
      <c r="D518" s="88">
        <v>16.518999999999998</v>
      </c>
      <c r="E518" s="88"/>
    </row>
    <row r="519" spans="3:5">
      <c r="C519" s="87">
        <v>44736</v>
      </c>
      <c r="D519" s="88">
        <v>16.5</v>
      </c>
      <c r="E519" s="88"/>
    </row>
    <row r="520" spans="3:5">
      <c r="C520" s="87">
        <v>44739</v>
      </c>
      <c r="D520" s="88">
        <v>17.312000000000001</v>
      </c>
      <c r="E520" s="88"/>
    </row>
    <row r="521" spans="3:5">
      <c r="C521" s="87">
        <v>44740</v>
      </c>
      <c r="D521" s="88">
        <v>16.899999999999999</v>
      </c>
      <c r="E521" s="88"/>
    </row>
    <row r="522" spans="3:5">
      <c r="C522" s="87">
        <v>44741</v>
      </c>
      <c r="D522" s="88">
        <v>15.814</v>
      </c>
      <c r="E522" s="88"/>
    </row>
    <row r="523" spans="3:5">
      <c r="C523" s="87">
        <v>44742</v>
      </c>
      <c r="D523" s="88">
        <v>15.361000000000001</v>
      </c>
      <c r="E523" s="88"/>
    </row>
    <row r="524" spans="3:5">
      <c r="C524" s="87">
        <v>44743</v>
      </c>
      <c r="D524" s="88">
        <v>14.898999999999999</v>
      </c>
      <c r="E524" s="88"/>
    </row>
    <row r="525" spans="3:5">
      <c r="C525" s="87">
        <v>44747</v>
      </c>
      <c r="D525" s="88">
        <v>14.175000000000001</v>
      </c>
      <c r="E525" s="88"/>
    </row>
    <row r="526" spans="3:5">
      <c r="C526" s="87">
        <v>44748</v>
      </c>
      <c r="D526" s="88">
        <v>15.01</v>
      </c>
      <c r="E526" s="88"/>
    </row>
    <row r="527" spans="3:5">
      <c r="C527" s="87">
        <v>44749</v>
      </c>
      <c r="D527" s="88">
        <v>15.456</v>
      </c>
      <c r="E527" s="88"/>
    </row>
    <row r="528" spans="3:5">
      <c r="C528" s="87">
        <v>44750</v>
      </c>
      <c r="D528" s="88">
        <v>15.43</v>
      </c>
      <c r="E528" s="88"/>
    </row>
    <row r="529" spans="3:5">
      <c r="C529" s="87">
        <v>44753</v>
      </c>
      <c r="D529" s="88">
        <v>15.526</v>
      </c>
      <c r="E529" s="88"/>
    </row>
    <row r="530" spans="3:5">
      <c r="C530" s="87">
        <v>44754</v>
      </c>
      <c r="D530" s="88">
        <v>15.268000000000001</v>
      </c>
      <c r="E530" s="88"/>
    </row>
    <row r="531" spans="3:5">
      <c r="C531" s="87">
        <v>44755</v>
      </c>
      <c r="D531" s="88">
        <v>14.59</v>
      </c>
      <c r="E531" s="88"/>
    </row>
    <row r="532" spans="3:5">
      <c r="C532" s="87">
        <v>44756</v>
      </c>
      <c r="D532" s="88">
        <v>15.108000000000001</v>
      </c>
      <c r="E532" s="88"/>
    </row>
    <row r="533" spans="3:5">
      <c r="C533" s="87">
        <v>44757</v>
      </c>
      <c r="D533" s="88">
        <v>15.659000000000001</v>
      </c>
      <c r="E533" s="88"/>
    </row>
    <row r="534" spans="3:5">
      <c r="C534" s="87">
        <v>44760</v>
      </c>
      <c r="D534" s="88">
        <v>16.302</v>
      </c>
      <c r="E534" s="88"/>
    </row>
    <row r="535" spans="3:5">
      <c r="C535" s="87">
        <v>44761</v>
      </c>
      <c r="D535" s="88">
        <v>16.486000000000001</v>
      </c>
      <c r="E535" s="88"/>
    </row>
    <row r="536" spans="3:5">
      <c r="C536" s="87">
        <v>44762</v>
      </c>
      <c r="D536" s="88">
        <v>16.946999999999999</v>
      </c>
      <c r="E536" s="88"/>
    </row>
    <row r="537" spans="3:5">
      <c r="C537" s="87">
        <v>44763</v>
      </c>
      <c r="D537" s="88">
        <v>17.885000000000002</v>
      </c>
      <c r="E537" s="88"/>
    </row>
    <row r="538" spans="3:5">
      <c r="C538" s="87">
        <v>44764</v>
      </c>
      <c r="D538" s="88">
        <v>17.893000000000001</v>
      </c>
      <c r="E538" s="88"/>
    </row>
    <row r="539" spans="3:5">
      <c r="C539" s="87">
        <v>44767</v>
      </c>
      <c r="D539" s="88">
        <v>17.018999999999998</v>
      </c>
      <c r="E539" s="88"/>
    </row>
    <row r="540" spans="3:5">
      <c r="C540" s="87">
        <v>44768</v>
      </c>
      <c r="D540" s="88">
        <v>16.888999999999999</v>
      </c>
      <c r="E540" s="88"/>
    </row>
    <row r="541" spans="3:5">
      <c r="C541" s="87">
        <v>44769</v>
      </c>
      <c r="D541" s="88">
        <v>17.032</v>
      </c>
      <c r="E541" s="88"/>
    </row>
    <row r="542" spans="3:5">
      <c r="C542" s="87">
        <v>44770</v>
      </c>
      <c r="D542" s="88">
        <v>17.975000000000001</v>
      </c>
      <c r="E542" s="88"/>
    </row>
    <row r="543" spans="3:5">
      <c r="C543" s="87">
        <v>44771</v>
      </c>
      <c r="D543" s="88">
        <v>17.812999999999999</v>
      </c>
      <c r="E543" s="88"/>
    </row>
    <row r="544" spans="3:5">
      <c r="C544" s="87">
        <v>44774</v>
      </c>
      <c r="D544" s="88">
        <v>18.181999999999999</v>
      </c>
      <c r="E544" s="88"/>
    </row>
    <row r="545" spans="3:5">
      <c r="C545" s="87">
        <v>44775</v>
      </c>
      <c r="D545" s="88">
        <v>18.122</v>
      </c>
      <c r="E545" s="88"/>
    </row>
    <row r="546" spans="3:5">
      <c r="C546" s="87">
        <v>44776</v>
      </c>
      <c r="D546" s="88">
        <v>18.184000000000001</v>
      </c>
      <c r="E546" s="88"/>
    </row>
    <row r="547" spans="3:5">
      <c r="C547" s="87">
        <v>44777</v>
      </c>
      <c r="D547" s="88">
        <v>18.849</v>
      </c>
      <c r="E547" s="88"/>
    </row>
    <row r="548" spans="3:5">
      <c r="C548" s="87">
        <v>44778</v>
      </c>
      <c r="D548" s="88">
        <v>18.809999999999999</v>
      </c>
      <c r="E548" s="88"/>
    </row>
    <row r="549" spans="3:5">
      <c r="C549" s="87">
        <v>44781</v>
      </c>
      <c r="D549" s="88">
        <v>17.501999999999999</v>
      </c>
      <c r="E549" s="88"/>
    </row>
    <row r="550" spans="3:5">
      <c r="C550" s="87">
        <v>44782</v>
      </c>
      <c r="D550" s="88">
        <v>17.251999999999999</v>
      </c>
      <c r="E550" s="88"/>
    </row>
    <row r="551" spans="3:5">
      <c r="C551" s="87">
        <v>44783</v>
      </c>
      <c r="D551" s="88">
        <v>17.698</v>
      </c>
      <c r="E551" s="88"/>
    </row>
    <row r="552" spans="3:5">
      <c r="C552" s="87">
        <v>44784</v>
      </c>
      <c r="D552" s="88">
        <v>18.131</v>
      </c>
      <c r="E552" s="88"/>
    </row>
    <row r="553" spans="3:5">
      <c r="C553" s="87">
        <v>44785</v>
      </c>
      <c r="D553" s="88">
        <v>18.16</v>
      </c>
      <c r="E553" s="88"/>
    </row>
    <row r="554" spans="3:5">
      <c r="C554" s="87">
        <v>44788</v>
      </c>
      <c r="D554" s="88">
        <v>18.701000000000001</v>
      </c>
      <c r="E554" s="88"/>
    </row>
    <row r="555" spans="3:5">
      <c r="C555" s="87">
        <v>44789</v>
      </c>
      <c r="D555" s="88">
        <v>18.920000000000002</v>
      </c>
      <c r="E555" s="88"/>
    </row>
    <row r="556" spans="3:5">
      <c r="C556" s="87">
        <v>44790</v>
      </c>
      <c r="D556" s="88">
        <v>18.523</v>
      </c>
      <c r="E556" s="88"/>
    </row>
    <row r="557" spans="3:5">
      <c r="C557" s="87">
        <v>44791</v>
      </c>
      <c r="D557" s="88">
        <v>18.300999999999998</v>
      </c>
      <c r="E557" s="88"/>
    </row>
    <row r="558" spans="3:5">
      <c r="C558" s="87">
        <v>44792</v>
      </c>
      <c r="D558" s="88">
        <v>18.405999999999999</v>
      </c>
      <c r="E558" s="88"/>
    </row>
    <row r="559" spans="3:5">
      <c r="C559" s="87">
        <v>44795</v>
      </c>
      <c r="D559" s="88">
        <v>17.489999999999998</v>
      </c>
      <c r="E559" s="88"/>
    </row>
    <row r="560" spans="3:5">
      <c r="C560" s="87">
        <v>44796</v>
      </c>
      <c r="D560" s="88">
        <v>16.989000000000001</v>
      </c>
      <c r="E560" s="88"/>
    </row>
    <row r="561" spans="3:5">
      <c r="C561" s="87">
        <v>44797</v>
      </c>
      <c r="D561" s="88">
        <v>17.012</v>
      </c>
      <c r="E561" s="88"/>
    </row>
    <row r="562" spans="3:5">
      <c r="C562" s="87">
        <v>44798</v>
      </c>
      <c r="D562" s="88">
        <v>16.844000000000001</v>
      </c>
      <c r="E562" s="88"/>
    </row>
    <row r="563" spans="3:5">
      <c r="C563" s="87">
        <v>44799</v>
      </c>
      <c r="D563" s="88">
        <v>17.856999999999999</v>
      </c>
      <c r="E563" s="88"/>
    </row>
    <row r="564" spans="3:5">
      <c r="C564" s="87">
        <v>44802</v>
      </c>
      <c r="D564" s="88">
        <v>16.02</v>
      </c>
      <c r="E564" s="88"/>
    </row>
    <row r="565" spans="3:5">
      <c r="C565" s="87">
        <v>44803</v>
      </c>
      <c r="D565" s="88">
        <v>15.96</v>
      </c>
      <c r="E565" s="88"/>
    </row>
    <row r="566" spans="3:5">
      <c r="C566" s="87">
        <v>44804</v>
      </c>
      <c r="D566" s="88">
        <v>15.384</v>
      </c>
      <c r="E566" s="88"/>
    </row>
    <row r="567" spans="3:5">
      <c r="C567" s="87">
        <v>44805</v>
      </c>
      <c r="D567" s="88">
        <v>14.209</v>
      </c>
      <c r="E567" s="88"/>
    </row>
    <row r="568" spans="3:5">
      <c r="C568" s="87">
        <v>44806</v>
      </c>
      <c r="D568" s="88">
        <v>14.1</v>
      </c>
      <c r="E568" s="88"/>
    </row>
    <row r="569" spans="3:5">
      <c r="C569" s="87">
        <v>44810</v>
      </c>
      <c r="D569" s="88">
        <v>13.731</v>
      </c>
      <c r="E569" s="88"/>
    </row>
    <row r="570" spans="3:5">
      <c r="C570" s="87">
        <v>44811</v>
      </c>
      <c r="D570" s="88">
        <v>13.563000000000001</v>
      </c>
      <c r="E570" s="88"/>
    </row>
    <row r="571" spans="3:5">
      <c r="C571" s="87">
        <v>44812</v>
      </c>
      <c r="D571" s="88">
        <v>13.459</v>
      </c>
      <c r="E571" s="88"/>
    </row>
    <row r="572" spans="3:5">
      <c r="C572" s="87">
        <v>44813</v>
      </c>
      <c r="D572" s="88">
        <v>14.157</v>
      </c>
      <c r="E572" s="88"/>
    </row>
    <row r="573" spans="3:5">
      <c r="C573" s="87">
        <v>44816</v>
      </c>
      <c r="D573" s="88">
        <v>14.369</v>
      </c>
      <c r="E573" s="88"/>
    </row>
    <row r="574" spans="3:5">
      <c r="C574" s="87">
        <v>44817</v>
      </c>
      <c r="D574" s="88">
        <v>13.802</v>
      </c>
      <c r="E574" s="88"/>
    </row>
    <row r="575" spans="3:5">
      <c r="C575" s="87">
        <v>44818</v>
      </c>
      <c r="D575" s="88">
        <v>13.254</v>
      </c>
      <c r="E575" s="88"/>
    </row>
    <row r="576" spans="3:5">
      <c r="C576" s="87">
        <v>44819</v>
      </c>
      <c r="D576" s="88">
        <v>13.015000000000001</v>
      </c>
      <c r="E576" s="88"/>
    </row>
    <row r="577" spans="3:5">
      <c r="C577" s="87">
        <v>44820</v>
      </c>
      <c r="D577" s="88">
        <v>12.742000000000001</v>
      </c>
      <c r="E577" s="88"/>
    </row>
    <row r="578" spans="3:5">
      <c r="C578" s="87">
        <v>44823</v>
      </c>
      <c r="D578" s="88">
        <v>13.012</v>
      </c>
      <c r="E578" s="88"/>
    </row>
    <row r="579" spans="3:5">
      <c r="C579" s="87">
        <v>44824</v>
      </c>
      <c r="D579" s="88">
        <v>13.215</v>
      </c>
      <c r="E579" s="88"/>
    </row>
    <row r="580" spans="3:5">
      <c r="C580" s="87">
        <v>44825</v>
      </c>
      <c r="D580" s="88">
        <v>13.212999999999999</v>
      </c>
      <c r="E580" s="88"/>
    </row>
    <row r="581" spans="3:5">
      <c r="C581" s="87">
        <v>44826</v>
      </c>
      <c r="D581" s="88">
        <v>13.07</v>
      </c>
      <c r="E581" s="88"/>
    </row>
    <row r="582" spans="3:5">
      <c r="C582" s="87">
        <v>44827</v>
      </c>
      <c r="D582" s="88">
        <v>12.42</v>
      </c>
      <c r="E582" s="88"/>
    </row>
    <row r="583" spans="3:5">
      <c r="C583" s="87">
        <v>44830</v>
      </c>
      <c r="D583" s="88">
        <v>12.491</v>
      </c>
      <c r="E583" s="88"/>
    </row>
    <row r="584" spans="3:5">
      <c r="C584" s="87">
        <v>44831</v>
      </c>
      <c r="D584" s="88">
        <v>12.507</v>
      </c>
      <c r="E584" s="88"/>
    </row>
    <row r="585" spans="3:5">
      <c r="C585" s="87">
        <v>44832</v>
      </c>
      <c r="D585" s="88">
        <v>12.41</v>
      </c>
      <c r="E585" s="88"/>
    </row>
    <row r="586" spans="3:5">
      <c r="C586" s="87">
        <v>44833</v>
      </c>
      <c r="D586" s="88">
        <v>12.448</v>
      </c>
      <c r="E586" s="88"/>
    </row>
    <row r="587" spans="3:5">
      <c r="C587" s="87">
        <v>44834</v>
      </c>
      <c r="D587" s="88">
        <v>12.087</v>
      </c>
      <c r="E587" s="88"/>
    </row>
    <row r="588" spans="3:5">
      <c r="C588" s="87">
        <v>44837</v>
      </c>
      <c r="D588" s="88">
        <v>12.347</v>
      </c>
      <c r="E588" s="88"/>
    </row>
    <row r="589" spans="3:5">
      <c r="C589" s="87">
        <v>44838</v>
      </c>
      <c r="D589" s="88">
        <v>12.879</v>
      </c>
      <c r="E589" s="88"/>
    </row>
    <row r="590" spans="3:5">
      <c r="C590" s="87">
        <v>44839</v>
      </c>
      <c r="D590" s="88">
        <v>12.911</v>
      </c>
      <c r="E590" s="88"/>
    </row>
    <row r="591" spans="3:5">
      <c r="C591" s="87">
        <v>44840</v>
      </c>
      <c r="D591" s="88">
        <v>13.22</v>
      </c>
      <c r="E591" s="88"/>
    </row>
    <row r="592" spans="3:5">
      <c r="C592" s="87">
        <v>44841</v>
      </c>
      <c r="D592" s="88">
        <v>12.505000000000001</v>
      </c>
      <c r="E592" s="88"/>
    </row>
    <row r="593" spans="3:5">
      <c r="C593" s="87">
        <v>44844</v>
      </c>
      <c r="D593" s="88">
        <v>12.037000000000001</v>
      </c>
      <c r="E593" s="88"/>
    </row>
    <row r="594" spans="3:5">
      <c r="C594" s="87">
        <v>44845</v>
      </c>
      <c r="D594" s="88">
        <v>11.561</v>
      </c>
      <c r="E594" s="88"/>
    </row>
    <row r="595" spans="3:5">
      <c r="C595" s="87">
        <v>44846</v>
      </c>
      <c r="D595" s="88">
        <v>11.579000000000001</v>
      </c>
      <c r="E595" s="88"/>
    </row>
    <row r="596" spans="3:5">
      <c r="C596" s="87">
        <v>44847</v>
      </c>
      <c r="D596" s="88">
        <v>10.971</v>
      </c>
      <c r="E596" s="88"/>
    </row>
    <row r="597" spans="3:5">
      <c r="C597" s="87">
        <v>44848</v>
      </c>
      <c r="D597" s="88">
        <v>12.057</v>
      </c>
      <c r="E597" s="88"/>
    </row>
    <row r="598" spans="3:5">
      <c r="C598" s="87">
        <v>44851</v>
      </c>
      <c r="D598" s="88">
        <v>11.518000000000001</v>
      </c>
      <c r="E598" s="88"/>
    </row>
    <row r="599" spans="3:5">
      <c r="C599" s="87">
        <v>44852</v>
      </c>
      <c r="D599" s="88">
        <v>12.343999999999999</v>
      </c>
      <c r="E599" s="88"/>
    </row>
    <row r="600" spans="3:5">
      <c r="C600" s="87">
        <v>44853</v>
      </c>
      <c r="D600" s="88">
        <v>11.879</v>
      </c>
      <c r="E600" s="88"/>
    </row>
    <row r="601" spans="3:5">
      <c r="C601" s="87">
        <v>44854</v>
      </c>
      <c r="D601" s="88">
        <v>12.113</v>
      </c>
      <c r="E601" s="88"/>
    </row>
    <row r="602" spans="3:5">
      <c r="C602" s="87">
        <v>44855</v>
      </c>
      <c r="D602" s="88">
        <v>12.098000000000001</v>
      </c>
      <c r="E602" s="88"/>
    </row>
    <row r="603" spans="3:5">
      <c r="C603" s="87">
        <v>44858</v>
      </c>
      <c r="D603" s="88">
        <v>12.507999999999999</v>
      </c>
      <c r="E603" s="88"/>
    </row>
    <row r="604" spans="3:5">
      <c r="C604" s="87">
        <v>44859</v>
      </c>
      <c r="D604" s="88">
        <v>12.694000000000001</v>
      </c>
      <c r="E604" s="88"/>
    </row>
    <row r="605" spans="3:5">
      <c r="C605" s="87">
        <v>44860</v>
      </c>
      <c r="D605" s="88">
        <v>12.869</v>
      </c>
      <c r="E605" s="88"/>
    </row>
    <row r="606" spans="3:5">
      <c r="C606" s="87">
        <v>44861</v>
      </c>
      <c r="D606" s="88">
        <v>13.63</v>
      </c>
      <c r="E606" s="88"/>
    </row>
    <row r="607" spans="3:5">
      <c r="C607" s="87">
        <v>44862</v>
      </c>
      <c r="D607" s="88">
        <v>13.103999999999999</v>
      </c>
      <c r="E607" s="88"/>
    </row>
    <row r="608" spans="3:5">
      <c r="C608" s="87">
        <v>44865</v>
      </c>
      <c r="D608" s="88">
        <v>13.778</v>
      </c>
      <c r="E608" s="88"/>
    </row>
    <row r="609" spans="3:5">
      <c r="C609" s="87">
        <v>44866</v>
      </c>
      <c r="D609" s="88">
        <v>13.811</v>
      </c>
      <c r="E609" s="88"/>
    </row>
    <row r="610" spans="3:5">
      <c r="C610" s="87">
        <v>44867</v>
      </c>
      <c r="D610" s="88">
        <v>13.85</v>
      </c>
      <c r="E610" s="88"/>
    </row>
    <row r="611" spans="3:5">
      <c r="C611" s="87">
        <v>44868</v>
      </c>
      <c r="D611" s="88">
        <v>13.042999999999999</v>
      </c>
      <c r="E611" s="88"/>
    </row>
    <row r="612" spans="3:5">
      <c r="C612" s="87">
        <v>44869</v>
      </c>
      <c r="D612" s="88">
        <v>13.986000000000001</v>
      </c>
      <c r="E612" s="88"/>
    </row>
    <row r="613" spans="3:5">
      <c r="C613" s="87">
        <v>44872</v>
      </c>
      <c r="D613" s="88">
        <v>14.228</v>
      </c>
      <c r="E613" s="88"/>
    </row>
    <row r="614" spans="3:5">
      <c r="C614" s="87">
        <v>44873</v>
      </c>
      <c r="D614" s="88">
        <v>14.801</v>
      </c>
      <c r="E614" s="88"/>
    </row>
    <row r="615" spans="3:5">
      <c r="C615" s="87">
        <v>44874</v>
      </c>
      <c r="D615" s="88">
        <v>14.162000000000001</v>
      </c>
      <c r="E615" s="88"/>
    </row>
    <row r="616" spans="3:5">
      <c r="C616" s="87">
        <v>44875</v>
      </c>
      <c r="D616" s="88">
        <v>14.8</v>
      </c>
      <c r="E616" s="88"/>
    </row>
    <row r="617" spans="3:5">
      <c r="C617" s="87">
        <v>44876</v>
      </c>
      <c r="D617" s="88">
        <v>15.808</v>
      </c>
      <c r="E617" s="88"/>
    </row>
    <row r="618" spans="3:5">
      <c r="C618" s="87">
        <v>44879</v>
      </c>
      <c r="D618" s="88">
        <v>16.218</v>
      </c>
      <c r="E618" s="88"/>
    </row>
    <row r="619" spans="3:5">
      <c r="C619" s="87">
        <v>44880</v>
      </c>
      <c r="D619" s="88">
        <v>16.722000000000001</v>
      </c>
      <c r="E619" s="88"/>
    </row>
    <row r="620" spans="3:5">
      <c r="C620" s="87">
        <v>44881</v>
      </c>
      <c r="D620" s="88">
        <v>16.161999999999999</v>
      </c>
      <c r="E620" s="88"/>
    </row>
    <row r="621" spans="3:5">
      <c r="C621" s="87">
        <v>44882</v>
      </c>
      <c r="D621" s="88">
        <v>15.715</v>
      </c>
      <c r="E621" s="88"/>
    </row>
    <row r="622" spans="3:5">
      <c r="C622" s="87">
        <v>44883</v>
      </c>
      <c r="D622" s="88">
        <v>15.965999999999999</v>
      </c>
      <c r="E622" s="88"/>
    </row>
    <row r="623" spans="3:5">
      <c r="C623" s="87">
        <v>44886</v>
      </c>
      <c r="D623" s="88">
        <v>15.147</v>
      </c>
      <c r="E623" s="88"/>
    </row>
    <row r="624" spans="3:5">
      <c r="C624" s="87">
        <v>44887</v>
      </c>
      <c r="D624" s="88">
        <v>15.327999999999999</v>
      </c>
      <c r="E624" s="88"/>
    </row>
    <row r="625" spans="3:5">
      <c r="C625" s="87">
        <v>44888</v>
      </c>
      <c r="D625" s="88">
        <v>16.097999999999999</v>
      </c>
      <c r="E625" s="88"/>
    </row>
    <row r="626" spans="3:5">
      <c r="C626" s="87">
        <v>44890</v>
      </c>
      <c r="D626" s="88">
        <v>16.318000000000001</v>
      </c>
      <c r="E626" s="88"/>
    </row>
    <row r="627" spans="3:5">
      <c r="C627" s="87">
        <v>44893</v>
      </c>
      <c r="D627" s="88">
        <v>16.026</v>
      </c>
      <c r="E627" s="88"/>
    </row>
    <row r="628" spans="3:5">
      <c r="C628" s="87">
        <v>44894</v>
      </c>
      <c r="D628" s="88">
        <v>15.827</v>
      </c>
      <c r="E628" s="88"/>
    </row>
    <row r="629" spans="3:5">
      <c r="C629" s="87">
        <v>44895</v>
      </c>
      <c r="D629" s="88">
        <v>15.696999999999999</v>
      </c>
      <c r="E629" s="88"/>
    </row>
    <row r="630" spans="3:5">
      <c r="C630" s="87">
        <v>44896</v>
      </c>
      <c r="D630" s="88">
        <v>16.998999999999999</v>
      </c>
      <c r="E630" s="88"/>
    </row>
    <row r="631" spans="3:5">
      <c r="C631" s="87">
        <v>44897</v>
      </c>
      <c r="D631" s="88">
        <v>16.658999999999999</v>
      </c>
      <c r="E631" s="88"/>
    </row>
    <row r="632" spans="3:5">
      <c r="C632" s="87">
        <v>44900</v>
      </c>
      <c r="D632" s="88">
        <v>16.678999999999998</v>
      </c>
      <c r="E632" s="88"/>
    </row>
    <row r="633" spans="3:5">
      <c r="C633" s="87">
        <v>44901</v>
      </c>
      <c r="D633" s="88">
        <v>16.53</v>
      </c>
      <c r="E633" s="88"/>
    </row>
    <row r="634" spans="3:5">
      <c r="C634" s="87">
        <v>44902</v>
      </c>
      <c r="D634" s="88">
        <v>15.772</v>
      </c>
      <c r="E634" s="88"/>
    </row>
    <row r="635" spans="3:5">
      <c r="C635" s="87">
        <v>44903</v>
      </c>
      <c r="D635" s="88">
        <v>16.273</v>
      </c>
      <c r="E635" s="88"/>
    </row>
    <row r="636" spans="3:5">
      <c r="C636" s="87">
        <v>44904</v>
      </c>
      <c r="D636" s="88">
        <v>17.16</v>
      </c>
      <c r="E636" s="88"/>
    </row>
    <row r="637" spans="3:5">
      <c r="C637" s="87">
        <v>44907</v>
      </c>
      <c r="D637" s="88">
        <v>17.036999999999999</v>
      </c>
      <c r="E637" s="88"/>
    </row>
    <row r="638" spans="3:5">
      <c r="C638" s="87">
        <v>44908</v>
      </c>
      <c r="D638" s="88">
        <v>18.530999999999999</v>
      </c>
      <c r="E638" s="88"/>
    </row>
    <row r="639" spans="3:5">
      <c r="C639" s="87">
        <v>44909</v>
      </c>
      <c r="D639" s="88">
        <v>17.986999999999998</v>
      </c>
      <c r="E639" s="88"/>
    </row>
    <row r="640" spans="3:5">
      <c r="C640" s="87">
        <v>44910</v>
      </c>
      <c r="D640" s="88">
        <v>17.146000000000001</v>
      </c>
      <c r="E640" s="88"/>
    </row>
    <row r="641" spans="3:5">
      <c r="C641" s="87">
        <v>44911</v>
      </c>
      <c r="D641" s="88">
        <v>16.864000000000001</v>
      </c>
      <c r="E641" s="88"/>
    </row>
    <row r="642" spans="3:5">
      <c r="C642" s="87">
        <v>44914</v>
      </c>
      <c r="D642" s="88">
        <v>16.571999999999999</v>
      </c>
      <c r="E642" s="88"/>
    </row>
    <row r="643" spans="3:5">
      <c r="C643" s="87">
        <v>44915</v>
      </c>
      <c r="D643" s="88">
        <v>16.064</v>
      </c>
      <c r="E643" s="88"/>
    </row>
    <row r="644" spans="3:5">
      <c r="C644" s="87">
        <v>44916</v>
      </c>
      <c r="D644" s="88">
        <v>16.114000000000001</v>
      </c>
      <c r="E644" s="88"/>
    </row>
    <row r="645" spans="3:5">
      <c r="C645" s="87">
        <v>44917</v>
      </c>
      <c r="D645" s="88">
        <v>16.094000000000001</v>
      </c>
      <c r="E645" s="88"/>
    </row>
    <row r="646" spans="3:5">
      <c r="C646" s="87">
        <v>44918</v>
      </c>
      <c r="D646" s="88">
        <v>15.196</v>
      </c>
      <c r="E646" s="88"/>
    </row>
    <row r="647" spans="3:5">
      <c r="C647" s="87">
        <v>44922</v>
      </c>
      <c r="D647" s="88">
        <v>15.074</v>
      </c>
      <c r="E647" s="88"/>
    </row>
    <row r="648" spans="3:5">
      <c r="C648" s="87">
        <v>44923</v>
      </c>
      <c r="D648" s="88">
        <v>13.927</v>
      </c>
      <c r="E648" s="88"/>
    </row>
    <row r="649" spans="3:5">
      <c r="C649" s="87">
        <v>44924</v>
      </c>
      <c r="D649" s="88">
        <v>14.401999999999999</v>
      </c>
      <c r="E649" s="88"/>
    </row>
    <row r="650" spans="3:5">
      <c r="C650" s="87">
        <v>44925</v>
      </c>
      <c r="D650" s="88">
        <v>14.334</v>
      </c>
      <c r="E650" s="88"/>
    </row>
    <row r="651" spans="3:5">
      <c r="C651" s="87">
        <v>44929</v>
      </c>
      <c r="D651" s="88">
        <v>14.851000000000001</v>
      </c>
      <c r="E651" s="88"/>
    </row>
    <row r="652" spans="3:5">
      <c r="C652" s="87">
        <v>44930</v>
      </c>
      <c r="D652" s="88">
        <v>14.567</v>
      </c>
      <c r="E652" s="88"/>
    </row>
    <row r="653" spans="3:5">
      <c r="C653" s="87">
        <v>44931</v>
      </c>
      <c r="D653" s="88">
        <v>14.491</v>
      </c>
      <c r="E653" s="88"/>
    </row>
    <row r="654" spans="3:5">
      <c r="C654" s="87">
        <v>44932</v>
      </c>
      <c r="D654" s="88">
        <v>14.474</v>
      </c>
      <c r="E654" s="88"/>
    </row>
    <row r="655" spans="3:5">
      <c r="C655" s="87">
        <v>44935</v>
      </c>
      <c r="D655" s="88">
        <v>15.284000000000001</v>
      </c>
      <c r="E655" s="88"/>
    </row>
    <row r="656" spans="3:5">
      <c r="C656" s="87">
        <v>44936</v>
      </c>
      <c r="D656" s="88">
        <v>15.507</v>
      </c>
      <c r="E656" s="88"/>
    </row>
    <row r="657" spans="3:5">
      <c r="C657" s="87">
        <v>44937</v>
      </c>
      <c r="D657" s="88">
        <v>15.84</v>
      </c>
      <c r="E657" s="88"/>
    </row>
    <row r="658" spans="3:5">
      <c r="C658" s="87">
        <v>44938</v>
      </c>
      <c r="D658" s="88">
        <v>16.100000000000001</v>
      </c>
      <c r="E658" s="88"/>
    </row>
    <row r="659" spans="3:5">
      <c r="C659" s="87">
        <v>44939</v>
      </c>
      <c r="D659" s="88">
        <v>16.277999999999999</v>
      </c>
      <c r="E659" s="88"/>
    </row>
    <row r="660" spans="3:5">
      <c r="C660" s="87">
        <v>44943</v>
      </c>
      <c r="D660" s="88">
        <v>16.899000000000001</v>
      </c>
      <c r="E660" s="88"/>
    </row>
    <row r="661" spans="3:5">
      <c r="C661" s="87">
        <v>44944</v>
      </c>
      <c r="D661" s="88">
        <v>17.667000000000002</v>
      </c>
      <c r="E661" s="88"/>
    </row>
    <row r="662" spans="3:5">
      <c r="C662" s="87">
        <v>44945</v>
      </c>
      <c r="D662" s="88">
        <v>17.036000000000001</v>
      </c>
      <c r="E662" s="88"/>
    </row>
    <row r="663" spans="3:5">
      <c r="C663" s="87">
        <v>44946</v>
      </c>
      <c r="D663" s="88">
        <v>17.010999999999999</v>
      </c>
      <c r="E663" s="88"/>
    </row>
    <row r="664" spans="3:5">
      <c r="C664" s="87">
        <v>44949</v>
      </c>
      <c r="D664" s="88">
        <v>18.064</v>
      </c>
      <c r="E664" s="88"/>
    </row>
    <row r="665" spans="3:5">
      <c r="C665" s="87">
        <v>44950</v>
      </c>
      <c r="D665" s="88">
        <v>18.827000000000002</v>
      </c>
      <c r="E665" s="88"/>
    </row>
    <row r="666" spans="3:5">
      <c r="C666" s="87">
        <v>44951</v>
      </c>
      <c r="D666" s="88">
        <v>18.913</v>
      </c>
      <c r="E666" s="88"/>
    </row>
    <row r="667" spans="3:5">
      <c r="C667" s="87">
        <v>44952</v>
      </c>
      <c r="D667" s="88">
        <v>19.701000000000001</v>
      </c>
      <c r="E667" s="88"/>
    </row>
    <row r="668" spans="3:5">
      <c r="C668" s="87">
        <v>44953</v>
      </c>
      <c r="D668" s="88">
        <v>19.462</v>
      </c>
      <c r="E668" s="88"/>
    </row>
    <row r="669" spans="3:5">
      <c r="C669" s="87">
        <v>44956</v>
      </c>
      <c r="D669" s="88">
        <v>19.95</v>
      </c>
      <c r="E669" s="88"/>
    </row>
    <row r="670" spans="3:5">
      <c r="C670" s="87">
        <v>44957</v>
      </c>
      <c r="D670" s="88">
        <v>19.170000000000002</v>
      </c>
      <c r="E670" s="88"/>
    </row>
    <row r="671" spans="3:5">
      <c r="C671" s="87">
        <v>44958</v>
      </c>
      <c r="D671" s="88">
        <v>19.690999999999999</v>
      </c>
      <c r="E671" s="88"/>
    </row>
    <row r="672" spans="3:5">
      <c r="C672" s="87">
        <v>44959</v>
      </c>
      <c r="D672" s="88">
        <v>21</v>
      </c>
      <c r="E672" s="88"/>
    </row>
    <row r="673" spans="3:5">
      <c r="C673" s="87">
        <v>44960</v>
      </c>
      <c r="D673" s="88">
        <v>21</v>
      </c>
      <c r="E673" s="88"/>
    </row>
    <row r="674" spans="3:5">
      <c r="C674" s="87">
        <v>44963</v>
      </c>
      <c r="D674" s="88">
        <v>20.806000000000001</v>
      </c>
      <c r="E674" s="88"/>
    </row>
    <row r="675" spans="3:5">
      <c r="C675" s="87">
        <v>44964</v>
      </c>
      <c r="D675" s="88">
        <v>21.382000000000001</v>
      </c>
      <c r="E675" s="88"/>
    </row>
    <row r="676" spans="3:5">
      <c r="C676" s="87">
        <v>44965</v>
      </c>
      <c r="D676" s="88">
        <v>22.387</v>
      </c>
      <c r="E676" s="88"/>
    </row>
    <row r="677" spans="3:5">
      <c r="C677" s="87">
        <v>44966</v>
      </c>
      <c r="D677" s="88">
        <v>22.606000000000002</v>
      </c>
      <c r="E677" s="88"/>
    </row>
    <row r="678" spans="3:5">
      <c r="C678" s="87">
        <v>44967</v>
      </c>
      <c r="D678" s="88">
        <v>21.69</v>
      </c>
      <c r="E678" s="88"/>
    </row>
    <row r="679" spans="3:5">
      <c r="C679" s="87">
        <v>44970</v>
      </c>
      <c r="D679" s="88">
        <v>21.538</v>
      </c>
      <c r="E679" s="88"/>
    </row>
    <row r="680" spans="3:5">
      <c r="C680" s="87">
        <v>44971</v>
      </c>
      <c r="D680" s="88">
        <v>21.577999999999999</v>
      </c>
      <c r="E680" s="88"/>
    </row>
    <row r="681" spans="3:5">
      <c r="C681" s="87">
        <v>44972</v>
      </c>
      <c r="D681" s="88">
        <v>22.548999999999999</v>
      </c>
      <c r="E681" s="88"/>
    </row>
    <row r="682" spans="3:5">
      <c r="C682" s="87">
        <v>44973</v>
      </c>
      <c r="D682" s="88">
        <v>22.132999999999999</v>
      </c>
      <c r="E682" s="88"/>
    </row>
    <row r="683" spans="3:5">
      <c r="C683" s="87">
        <v>44974</v>
      </c>
      <c r="D683" s="88">
        <v>21.631</v>
      </c>
      <c r="E683" s="88"/>
    </row>
    <row r="684" spans="3:5">
      <c r="C684" s="87">
        <v>44978</v>
      </c>
      <c r="D684" s="88">
        <v>21</v>
      </c>
      <c r="E684" s="88"/>
    </row>
    <row r="685" spans="3:5">
      <c r="C685" s="87">
        <v>44979</v>
      </c>
      <c r="D685" s="88">
        <v>20.707000000000001</v>
      </c>
      <c r="E685" s="88"/>
    </row>
    <row r="686" spans="3:5">
      <c r="C686" s="87">
        <v>44980</v>
      </c>
      <c r="D686" s="88">
        <v>23.44</v>
      </c>
      <c r="E686" s="88"/>
    </row>
    <row r="687" spans="3:5">
      <c r="C687" s="87">
        <v>44981</v>
      </c>
      <c r="D687" s="88">
        <v>23.225000000000001</v>
      </c>
      <c r="E687" s="88"/>
    </row>
    <row r="688" spans="3:5">
      <c r="C688" s="87">
        <v>44984</v>
      </c>
      <c r="D688" s="88">
        <v>23.67</v>
      </c>
      <c r="E688" s="88"/>
    </row>
    <row r="689" spans="3:5">
      <c r="C689" s="87">
        <v>44985</v>
      </c>
      <c r="D689" s="88">
        <v>23.372</v>
      </c>
      <c r="E689" s="88"/>
    </row>
    <row r="690" spans="3:5">
      <c r="C690" s="87">
        <v>44986</v>
      </c>
      <c r="D690" s="88">
        <v>23.192</v>
      </c>
      <c r="E690" s="88"/>
    </row>
    <row r="691" spans="3:5">
      <c r="C691" s="87">
        <v>44987</v>
      </c>
      <c r="D691" s="88">
        <v>22.488</v>
      </c>
      <c r="E691" s="88"/>
    </row>
    <row r="692" spans="3:5">
      <c r="C692" s="87">
        <v>44988</v>
      </c>
      <c r="D692" s="88">
        <v>23.32</v>
      </c>
      <c r="E692" s="88"/>
    </row>
    <row r="693" spans="3:5">
      <c r="C693" s="87">
        <v>44991</v>
      </c>
      <c r="D693" s="88">
        <v>23.890999999999998</v>
      </c>
      <c r="E693" s="88"/>
    </row>
    <row r="694" spans="3:5">
      <c r="C694" s="87">
        <v>44992</v>
      </c>
      <c r="D694" s="88">
        <v>23.6</v>
      </c>
      <c r="E694" s="88"/>
    </row>
    <row r="695" spans="3:5">
      <c r="C695" s="87">
        <v>44993</v>
      </c>
      <c r="D695" s="88">
        <v>23.486999999999998</v>
      </c>
      <c r="E695" s="88"/>
    </row>
    <row r="696" spans="3:5">
      <c r="C696" s="87">
        <v>44994</v>
      </c>
      <c r="D696" s="88">
        <v>24.175000000000001</v>
      </c>
      <c r="E696" s="88"/>
    </row>
    <row r="697" spans="3:5">
      <c r="C697" s="87">
        <v>44995</v>
      </c>
      <c r="D697" s="88">
        <v>23.408999999999999</v>
      </c>
      <c r="E697" s="88"/>
    </row>
    <row r="698" spans="3:5">
      <c r="C698" s="87">
        <v>44998</v>
      </c>
      <c r="D698" s="88">
        <v>22.751999999999999</v>
      </c>
      <c r="E698" s="88"/>
    </row>
    <row r="699" spans="3:5">
      <c r="C699" s="87">
        <v>44999</v>
      </c>
      <c r="D699" s="88">
        <v>23.495999999999999</v>
      </c>
      <c r="E699" s="88"/>
    </row>
    <row r="700" spans="3:5">
      <c r="C700" s="87">
        <v>45000</v>
      </c>
      <c r="D700" s="88">
        <v>23.760999999999999</v>
      </c>
      <c r="E700" s="88"/>
    </row>
    <row r="701" spans="3:5">
      <c r="C701" s="87">
        <v>45001</v>
      </c>
      <c r="D701" s="88">
        <v>24.027000000000001</v>
      </c>
      <c r="E701" s="88"/>
    </row>
    <row r="702" spans="3:5">
      <c r="C702" s="87">
        <v>45002</v>
      </c>
      <c r="D702" s="88">
        <v>25.981999999999999</v>
      </c>
      <c r="E702" s="88"/>
    </row>
    <row r="703" spans="3:5">
      <c r="C703" s="87">
        <v>45005</v>
      </c>
      <c r="D703" s="88">
        <v>25.614999999999998</v>
      </c>
      <c r="E703" s="88"/>
    </row>
    <row r="704" spans="3:5">
      <c r="C704" s="87">
        <v>45006</v>
      </c>
      <c r="D704" s="88">
        <v>26.18</v>
      </c>
      <c r="E704" s="88"/>
    </row>
    <row r="705" spans="3:5">
      <c r="C705" s="87">
        <v>45007</v>
      </c>
      <c r="D705" s="88">
        <v>26.425000000000001</v>
      </c>
      <c r="E705" s="88"/>
    </row>
    <row r="706" spans="3:5">
      <c r="C706" s="87">
        <v>45008</v>
      </c>
      <c r="D706" s="88">
        <v>27.116</v>
      </c>
      <c r="E706" s="88"/>
    </row>
    <row r="707" spans="3:5">
      <c r="C707" s="87">
        <v>45009</v>
      </c>
      <c r="D707" s="88">
        <v>27.030999999999999</v>
      </c>
      <c r="E707" s="88"/>
    </row>
    <row r="708" spans="3:5">
      <c r="C708" s="87">
        <v>45012</v>
      </c>
      <c r="D708" s="88">
        <v>26.837</v>
      </c>
      <c r="E708" s="88"/>
    </row>
    <row r="709" spans="3:5">
      <c r="C709" s="87">
        <v>45013</v>
      </c>
      <c r="D709" s="88">
        <v>26.446999999999999</v>
      </c>
      <c r="E709" s="88"/>
    </row>
    <row r="710" spans="3:5">
      <c r="C710" s="87">
        <v>45014</v>
      </c>
      <c r="D710" s="88">
        <v>26.824999999999999</v>
      </c>
      <c r="E710" s="88"/>
    </row>
    <row r="711" spans="3:5">
      <c r="C711" s="87">
        <v>45015</v>
      </c>
      <c r="D711" s="88">
        <v>27.228999999999999</v>
      </c>
      <c r="E711" s="88"/>
    </row>
    <row r="712" spans="3:5">
      <c r="C712" s="87">
        <v>45016</v>
      </c>
      <c r="D712" s="88">
        <v>27.14</v>
      </c>
      <c r="E712" s="88"/>
    </row>
    <row r="713" spans="3:5">
      <c r="C713" s="87">
        <v>45019</v>
      </c>
      <c r="D713" s="88">
        <v>27.509</v>
      </c>
      <c r="E713" s="88"/>
    </row>
    <row r="714" spans="3:5">
      <c r="C714" s="87">
        <v>45020</v>
      </c>
      <c r="D714" s="88">
        <v>27.966000000000001</v>
      </c>
      <c r="E714" s="88"/>
    </row>
    <row r="715" spans="3:5">
      <c r="C715" s="87">
        <v>45021</v>
      </c>
      <c r="D715" s="88">
        <v>26.829000000000001</v>
      </c>
      <c r="E715" s="88"/>
    </row>
    <row r="716" spans="3:5">
      <c r="C716" s="87">
        <v>45022</v>
      </c>
      <c r="D716" s="88">
        <v>26.584</v>
      </c>
      <c r="E716" s="88"/>
    </row>
    <row r="717" spans="3:5">
      <c r="C717" s="87">
        <v>45026</v>
      </c>
      <c r="D717" s="88">
        <v>26.823</v>
      </c>
      <c r="E717" s="88"/>
    </row>
    <row r="718" spans="3:5">
      <c r="C718" s="87">
        <v>45027</v>
      </c>
      <c r="D718" s="88">
        <v>27.724</v>
      </c>
      <c r="E718" s="88"/>
    </row>
    <row r="719" spans="3:5">
      <c r="C719" s="87">
        <v>45028</v>
      </c>
      <c r="D719" s="88">
        <v>27.37</v>
      </c>
      <c r="E719" s="88"/>
    </row>
    <row r="720" spans="3:5">
      <c r="C720" s="87">
        <v>45029</v>
      </c>
      <c r="D720" s="88">
        <v>26.734000000000002</v>
      </c>
      <c r="E720" s="88"/>
    </row>
    <row r="721" spans="3:5">
      <c r="C721" s="87">
        <v>45030</v>
      </c>
      <c r="D721" s="88">
        <v>26.504000000000001</v>
      </c>
      <c r="E721" s="88"/>
    </row>
    <row r="722" spans="3:5">
      <c r="C722" s="87">
        <v>45033</v>
      </c>
      <c r="D722" s="88">
        <v>26.565999999999999</v>
      </c>
      <c r="E722" s="88"/>
    </row>
    <row r="723" spans="3:5">
      <c r="C723" s="87">
        <v>45034</v>
      </c>
      <c r="D723" s="88">
        <v>27.533999999999999</v>
      </c>
      <c r="E723" s="88"/>
    </row>
    <row r="724" spans="3:5">
      <c r="C724" s="87">
        <v>45035</v>
      </c>
      <c r="D724" s="88">
        <v>27.361000000000001</v>
      </c>
      <c r="E724" s="88"/>
    </row>
    <row r="725" spans="3:5">
      <c r="C725" s="87">
        <v>45036</v>
      </c>
      <c r="D725" s="88">
        <v>27.670999999999999</v>
      </c>
      <c r="E725" s="88"/>
    </row>
    <row r="726" spans="3:5">
      <c r="C726" s="87">
        <v>45037</v>
      </c>
      <c r="D726" s="88">
        <v>26.952000000000002</v>
      </c>
      <c r="E726" s="88"/>
    </row>
    <row r="727" spans="3:5">
      <c r="C727" s="87">
        <v>45040</v>
      </c>
      <c r="D727" s="88">
        <v>27.013000000000002</v>
      </c>
      <c r="E727" s="88"/>
    </row>
    <row r="728" spans="3:5">
      <c r="C728" s="87">
        <v>45041</v>
      </c>
      <c r="D728" s="88">
        <v>27.077999999999999</v>
      </c>
      <c r="E728" s="88"/>
    </row>
    <row r="729" spans="3:5">
      <c r="C729" s="87">
        <v>45042</v>
      </c>
      <c r="D729" s="88">
        <v>27.001999999999999</v>
      </c>
      <c r="E729" s="88"/>
    </row>
    <row r="730" spans="3:5">
      <c r="C730" s="87">
        <v>45043</v>
      </c>
      <c r="D730" s="88">
        <v>27.363</v>
      </c>
      <c r="E730" s="88"/>
    </row>
    <row r="731" spans="3:5">
      <c r="C731" s="87">
        <v>45044</v>
      </c>
      <c r="D731" s="88">
        <v>27.225000000000001</v>
      </c>
      <c r="E731" s="88"/>
    </row>
    <row r="732" spans="3:5">
      <c r="C732" s="87">
        <v>45047</v>
      </c>
      <c r="D732" s="88">
        <v>27.84</v>
      </c>
      <c r="E732" s="88"/>
    </row>
    <row r="733" spans="3:5">
      <c r="C733" s="87">
        <v>45048</v>
      </c>
      <c r="D733" s="88">
        <v>28.68</v>
      </c>
      <c r="E733" s="88"/>
    </row>
    <row r="734" spans="3:5">
      <c r="C734" s="87">
        <v>45049</v>
      </c>
      <c r="D734" s="88">
        <v>27.84</v>
      </c>
      <c r="E734" s="88"/>
    </row>
    <row r="735" spans="3:5">
      <c r="C735" s="87">
        <v>45050</v>
      </c>
      <c r="D735" s="88">
        <v>27.651</v>
      </c>
      <c r="E735" s="88"/>
    </row>
    <row r="736" spans="3:5">
      <c r="C736" s="87">
        <v>45051</v>
      </c>
      <c r="D736" s="88">
        <v>27.826000000000001</v>
      </c>
      <c r="E736" s="88"/>
    </row>
    <row r="737" spans="3:5">
      <c r="C737" s="87">
        <v>45054</v>
      </c>
      <c r="D737" s="88">
        <v>28.521999999999998</v>
      </c>
      <c r="E737" s="88"/>
    </row>
    <row r="738" spans="3:5">
      <c r="C738" s="87">
        <v>45055</v>
      </c>
      <c r="D738" s="88">
        <v>28.899000000000001</v>
      </c>
      <c r="E738" s="88"/>
    </row>
    <row r="739" spans="3:5">
      <c r="C739" s="87">
        <v>45056</v>
      </c>
      <c r="D739" s="88">
        <v>29.004999999999999</v>
      </c>
      <c r="E739" s="88"/>
    </row>
    <row r="740" spans="3:5">
      <c r="C740" s="87">
        <v>45057</v>
      </c>
      <c r="D740" s="88">
        <v>28.896000000000001</v>
      </c>
      <c r="E740" s="88"/>
    </row>
    <row r="741" spans="3:5">
      <c r="C741" s="87">
        <v>45058</v>
      </c>
      <c r="D741" s="88">
        <v>28.529</v>
      </c>
      <c r="E741" s="88"/>
    </row>
    <row r="742" spans="3:5">
      <c r="C742" s="87">
        <v>45061</v>
      </c>
      <c r="D742" s="88">
        <v>28.509</v>
      </c>
      <c r="E742" s="88"/>
    </row>
    <row r="743" spans="3:5">
      <c r="C743" s="87">
        <v>45062</v>
      </c>
      <c r="D743" s="88">
        <v>28.841000000000001</v>
      </c>
      <c r="E743" s="88"/>
    </row>
    <row r="744" spans="3:5">
      <c r="C744" s="87">
        <v>45063</v>
      </c>
      <c r="D744" s="88">
        <v>29.584</v>
      </c>
      <c r="E744" s="88"/>
    </row>
    <row r="745" spans="3:5">
      <c r="C745" s="87">
        <v>45064</v>
      </c>
      <c r="D745" s="88">
        <v>30.41</v>
      </c>
      <c r="E745" s="88"/>
    </row>
    <row r="746" spans="3:5">
      <c r="C746" s="87">
        <v>45065</v>
      </c>
      <c r="D746" s="88">
        <v>31.536000000000001</v>
      </c>
      <c r="E746" s="88"/>
    </row>
    <row r="747" spans="3:5">
      <c r="C747" s="87">
        <v>45068</v>
      </c>
      <c r="D747" s="88">
        <v>30.901</v>
      </c>
      <c r="E747" s="88"/>
    </row>
    <row r="748" spans="3:5">
      <c r="C748" s="87">
        <v>45069</v>
      </c>
      <c r="D748" s="88">
        <v>31</v>
      </c>
      <c r="E748" s="88"/>
    </row>
    <row r="749" spans="3:5">
      <c r="C749" s="87">
        <v>45070</v>
      </c>
      <c r="D749" s="88">
        <v>30.21</v>
      </c>
      <c r="E749" s="88"/>
    </row>
    <row r="750" spans="3:5">
      <c r="C750" s="87">
        <v>45071</v>
      </c>
      <c r="D750" s="88">
        <v>38.523000000000003</v>
      </c>
      <c r="E750" s="88"/>
    </row>
    <row r="751" spans="3:5">
      <c r="C751" s="87">
        <v>45072</v>
      </c>
      <c r="D751" s="88">
        <v>37.89</v>
      </c>
      <c r="E751" s="88"/>
    </row>
    <row r="752" spans="3:5">
      <c r="C752" s="87">
        <v>45076</v>
      </c>
      <c r="D752" s="88">
        <v>40.594999999999999</v>
      </c>
      <c r="E752" s="88"/>
    </row>
    <row r="753" spans="3:5">
      <c r="C753" s="87">
        <v>45077</v>
      </c>
      <c r="D753" s="88">
        <v>39.488</v>
      </c>
      <c r="E753" s="88"/>
    </row>
    <row r="754" spans="3:5">
      <c r="C754" s="87">
        <v>45078</v>
      </c>
      <c r="D754" s="88">
        <v>38.488999999999997</v>
      </c>
      <c r="E754" s="88"/>
    </row>
    <row r="755" spans="3:5">
      <c r="C755" s="87">
        <v>45079</v>
      </c>
      <c r="D755" s="88">
        <v>40.097000000000001</v>
      </c>
      <c r="E755" s="88"/>
    </row>
    <row r="756" spans="3:5">
      <c r="C756" s="87">
        <v>45082</v>
      </c>
      <c r="D756" s="88">
        <v>38.908999999999999</v>
      </c>
      <c r="E756" s="88"/>
    </row>
    <row r="757" spans="3:5">
      <c r="C757" s="87">
        <v>45083</v>
      </c>
      <c r="D757" s="88">
        <v>38.83</v>
      </c>
      <c r="E757" s="88"/>
    </row>
    <row r="758" spans="3:5">
      <c r="C758" s="87">
        <v>45084</v>
      </c>
      <c r="D758" s="88">
        <v>38.914999999999999</v>
      </c>
      <c r="E758" s="88"/>
    </row>
    <row r="759" spans="3:5">
      <c r="C759" s="87">
        <v>45085</v>
      </c>
      <c r="D759" s="88">
        <v>37.723999999999997</v>
      </c>
      <c r="E759" s="88"/>
    </row>
    <row r="760" spans="3:5">
      <c r="C760" s="87">
        <v>45086</v>
      </c>
      <c r="D760" s="88">
        <v>39.036999999999999</v>
      </c>
      <c r="E760" s="88"/>
    </row>
    <row r="761" spans="3:5">
      <c r="C761" s="87">
        <v>45089</v>
      </c>
      <c r="D761" s="88">
        <v>39.200000000000003</v>
      </c>
      <c r="E761" s="88"/>
    </row>
    <row r="762" spans="3:5">
      <c r="C762" s="87">
        <v>45090</v>
      </c>
      <c r="D762" s="88">
        <v>40.186</v>
      </c>
      <c r="E762" s="88"/>
    </row>
    <row r="763" spans="3:5">
      <c r="C763" s="87">
        <v>45091</v>
      </c>
      <c r="D763" s="88">
        <v>40.823999999999998</v>
      </c>
      <c r="E763" s="88"/>
    </row>
    <row r="764" spans="3:5">
      <c r="C764" s="87">
        <v>45092</v>
      </c>
      <c r="D764" s="88">
        <v>42.601999999999997</v>
      </c>
      <c r="E764" s="88"/>
    </row>
    <row r="765" spans="3:5">
      <c r="C765" s="87">
        <v>45093</v>
      </c>
      <c r="D765" s="88">
        <v>43.45</v>
      </c>
      <c r="E765" s="88"/>
    </row>
    <row r="766" spans="3:5">
      <c r="C766" s="87">
        <v>45097</v>
      </c>
      <c r="D766" s="88">
        <v>42.997999999999998</v>
      </c>
      <c r="E766" s="88"/>
    </row>
    <row r="767" spans="3:5">
      <c r="C767" s="87">
        <v>45098</v>
      </c>
      <c r="D767" s="88">
        <v>43.500999999999998</v>
      </c>
      <c r="E767" s="88"/>
    </row>
    <row r="768" spans="3:5">
      <c r="C768" s="87">
        <v>45099</v>
      </c>
      <c r="D768" s="88">
        <v>42.253</v>
      </c>
      <c r="E768" s="88"/>
    </row>
    <row r="769" spans="3:5">
      <c r="C769" s="87">
        <v>45100</v>
      </c>
      <c r="D769" s="88">
        <v>42.463999999999999</v>
      </c>
      <c r="E769" s="88"/>
    </row>
    <row r="770" spans="3:5">
      <c r="C770" s="87">
        <v>45103</v>
      </c>
      <c r="D770" s="88">
        <v>42.460999999999999</v>
      </c>
      <c r="E770" s="88"/>
    </row>
    <row r="771" spans="3:5">
      <c r="C771" s="87">
        <v>45104</v>
      </c>
      <c r="D771" s="88">
        <v>40.798999999999999</v>
      </c>
      <c r="E771" s="88"/>
    </row>
    <row r="772" spans="3:5">
      <c r="C772" s="87">
        <v>45105</v>
      </c>
      <c r="D772" s="88">
        <v>40.659999999999997</v>
      </c>
      <c r="E772" s="88"/>
    </row>
    <row r="773" spans="3:5">
      <c r="C773" s="87">
        <v>45106</v>
      </c>
      <c r="D773" s="88">
        <v>41.558</v>
      </c>
      <c r="E773" s="88"/>
    </row>
    <row r="774" spans="3:5">
      <c r="C774" s="87">
        <v>45107</v>
      </c>
      <c r="D774" s="88">
        <v>41.68</v>
      </c>
      <c r="E774" s="88"/>
    </row>
    <row r="775" spans="3:5">
      <c r="C775" s="87">
        <v>45110</v>
      </c>
      <c r="D775" s="88">
        <v>42.517000000000003</v>
      </c>
      <c r="E775" s="88"/>
    </row>
    <row r="776" spans="3:5">
      <c r="C776" s="87">
        <v>45112</v>
      </c>
      <c r="D776" s="88">
        <v>42.134999999999998</v>
      </c>
      <c r="E776" s="88"/>
    </row>
    <row r="777" spans="3:5">
      <c r="C777" s="87">
        <v>45113</v>
      </c>
      <c r="D777" s="88">
        <v>41.844000000000001</v>
      </c>
      <c r="E777" s="88"/>
    </row>
    <row r="778" spans="3:5">
      <c r="C778" s="87">
        <v>45114</v>
      </c>
      <c r="D778" s="88">
        <v>42.322000000000003</v>
      </c>
      <c r="E778" s="88"/>
    </row>
    <row r="779" spans="3:5">
      <c r="C779" s="87">
        <v>45117</v>
      </c>
      <c r="D779" s="88">
        <v>42.656999999999996</v>
      </c>
      <c r="E779" s="88"/>
    </row>
    <row r="780" spans="3:5">
      <c r="C780" s="87">
        <v>45118</v>
      </c>
      <c r="D780" s="88">
        <v>42.481000000000002</v>
      </c>
      <c r="E780" s="88"/>
    </row>
    <row r="781" spans="3:5">
      <c r="C781" s="87">
        <v>45119</v>
      </c>
      <c r="D781" s="88">
        <v>43.033000000000001</v>
      </c>
      <c r="E781" s="88"/>
    </row>
    <row r="782" spans="3:5">
      <c r="C782" s="87">
        <v>45120</v>
      </c>
      <c r="D782" s="88">
        <v>44.518000000000001</v>
      </c>
      <c r="E782" s="88"/>
    </row>
    <row r="783" spans="3:5">
      <c r="C783" s="87">
        <v>45121</v>
      </c>
      <c r="D783" s="88">
        <v>46.582999999999998</v>
      </c>
      <c r="E783" s="88"/>
    </row>
    <row r="784" spans="3:5">
      <c r="C784" s="87">
        <v>45124</v>
      </c>
      <c r="D784" s="88">
        <v>46.289000000000001</v>
      </c>
      <c r="E784" s="88"/>
    </row>
    <row r="785" spans="3:5">
      <c r="C785" s="87">
        <v>45125</v>
      </c>
      <c r="D785" s="88">
        <v>46.701000000000001</v>
      </c>
      <c r="E785" s="88"/>
    </row>
    <row r="786" spans="3:5">
      <c r="C786" s="87">
        <v>45126</v>
      </c>
      <c r="D786" s="88">
        <v>47.463999999999999</v>
      </c>
      <c r="E786" s="88"/>
    </row>
    <row r="787" spans="3:5">
      <c r="C787" s="87">
        <v>45127</v>
      </c>
      <c r="D787" s="88">
        <v>46.506999999999998</v>
      </c>
      <c r="E787" s="88"/>
    </row>
    <row r="788" spans="3:5">
      <c r="C788" s="87">
        <v>45128</v>
      </c>
      <c r="D788" s="88">
        <v>45.787999999999997</v>
      </c>
      <c r="E788" s="88"/>
    </row>
    <row r="789" spans="3:5">
      <c r="C789" s="87">
        <v>45131</v>
      </c>
      <c r="D789" s="88">
        <v>44.731000000000002</v>
      </c>
      <c r="E789" s="88"/>
    </row>
    <row r="790" spans="3:5">
      <c r="C790" s="87">
        <v>45132</v>
      </c>
      <c r="D790" s="88">
        <v>44.941000000000003</v>
      </c>
      <c r="E790" s="88"/>
    </row>
    <row r="791" spans="3:5">
      <c r="C791" s="87">
        <v>45133</v>
      </c>
      <c r="D791" s="88">
        <v>46.021000000000001</v>
      </c>
      <c r="E791" s="88"/>
    </row>
    <row r="792" spans="3:5">
      <c r="C792" s="87">
        <v>45134</v>
      </c>
      <c r="D792" s="88">
        <v>46.518999999999998</v>
      </c>
      <c r="E792" s="88"/>
    </row>
    <row r="793" spans="3:5">
      <c r="C793" s="87">
        <v>45135</v>
      </c>
      <c r="D793" s="88">
        <v>46.667999999999999</v>
      </c>
      <c r="E793" s="88"/>
    </row>
    <row r="794" spans="3:5">
      <c r="C794" s="87">
        <v>45138</v>
      </c>
      <c r="D794" s="88">
        <v>46.753999999999998</v>
      </c>
      <c r="E794" s="88"/>
    </row>
    <row r="795" spans="3:5">
      <c r="C795" s="87">
        <v>45139</v>
      </c>
      <c r="D795" s="88">
        <v>46.46</v>
      </c>
      <c r="E795" s="88"/>
    </row>
    <row r="796" spans="3:5">
      <c r="C796" s="87">
        <v>45140</v>
      </c>
      <c r="D796" s="88">
        <v>45.831000000000003</v>
      </c>
      <c r="E796" s="88"/>
    </row>
    <row r="797" spans="3:5">
      <c r="C797" s="87">
        <v>45141</v>
      </c>
      <c r="D797" s="88">
        <v>43.8</v>
      </c>
      <c r="E797" s="88"/>
    </row>
    <row r="798" spans="3:5">
      <c r="C798" s="87">
        <v>45142</v>
      </c>
      <c r="D798" s="88">
        <v>44.984999999999999</v>
      </c>
      <c r="E798" s="88"/>
    </row>
    <row r="799" spans="3:5">
      <c r="C799" s="87">
        <v>45145</v>
      </c>
      <c r="D799" s="88">
        <v>45.110999999999997</v>
      </c>
      <c r="E799" s="88"/>
    </row>
    <row r="800" spans="3:5">
      <c r="C800" s="87">
        <v>45146</v>
      </c>
      <c r="D800" s="88">
        <v>44.853000000000002</v>
      </c>
      <c r="E800" s="88"/>
    </row>
    <row r="801" spans="3:5">
      <c r="C801" s="87">
        <v>45147</v>
      </c>
      <c r="D801" s="88">
        <v>44.274000000000001</v>
      </c>
      <c r="E801" s="88"/>
    </row>
    <row r="802" spans="3:5">
      <c r="C802" s="87">
        <v>45148</v>
      </c>
      <c r="D802" s="88">
        <v>42.16</v>
      </c>
      <c r="E802" s="88"/>
    </row>
    <row r="803" spans="3:5">
      <c r="C803" s="87">
        <v>45149</v>
      </c>
      <c r="D803" s="88">
        <v>41.750999999999998</v>
      </c>
      <c r="E803" s="88"/>
    </row>
    <row r="804" spans="3:5">
      <c r="C804" s="87">
        <v>45152</v>
      </c>
      <c r="D804" s="88">
        <v>40.485999999999997</v>
      </c>
      <c r="E804" s="88"/>
    </row>
    <row r="805" spans="3:5">
      <c r="C805" s="87">
        <v>45153</v>
      </c>
      <c r="D805" s="88">
        <v>44.56</v>
      </c>
      <c r="E805" s="88"/>
    </row>
    <row r="806" spans="3:5">
      <c r="C806" s="87">
        <v>45154</v>
      </c>
      <c r="D806" s="88">
        <v>44.52</v>
      </c>
      <c r="E806" s="88"/>
    </row>
    <row r="807" spans="3:5">
      <c r="C807" s="87">
        <v>45155</v>
      </c>
      <c r="D807" s="88">
        <v>43.97</v>
      </c>
      <c r="E807" s="88"/>
    </row>
    <row r="808" spans="3:5">
      <c r="C808" s="87">
        <v>45156</v>
      </c>
      <c r="D808" s="88">
        <v>42.634999999999998</v>
      </c>
      <c r="E808" s="88"/>
    </row>
    <row r="809" spans="3:5">
      <c r="C809" s="87">
        <v>45159</v>
      </c>
      <c r="D809" s="88">
        <v>44.494</v>
      </c>
      <c r="E809" s="88"/>
    </row>
    <row r="810" spans="3:5">
      <c r="C810" s="87">
        <v>45160</v>
      </c>
      <c r="D810" s="88">
        <v>48.134999999999998</v>
      </c>
      <c r="E810" s="88"/>
    </row>
    <row r="811" spans="3:5">
      <c r="C811" s="87">
        <v>45161</v>
      </c>
      <c r="D811" s="88">
        <v>45.866</v>
      </c>
      <c r="E811" s="88"/>
    </row>
    <row r="812" spans="3:5">
      <c r="C812" s="87">
        <v>45162</v>
      </c>
      <c r="D812" s="88">
        <v>50.216000000000001</v>
      </c>
      <c r="E812" s="88"/>
    </row>
    <row r="813" spans="3:5">
      <c r="C813" s="87">
        <v>45163</v>
      </c>
      <c r="D813" s="88">
        <v>47.012</v>
      </c>
      <c r="E813" s="88"/>
    </row>
    <row r="814" spans="3:5">
      <c r="C814" s="87">
        <v>45166</v>
      </c>
      <c r="D814" s="88">
        <v>46.481999999999999</v>
      </c>
      <c r="E814" s="88"/>
    </row>
    <row r="815" spans="3:5">
      <c r="C815" s="87">
        <v>45167</v>
      </c>
      <c r="D815" s="88">
        <v>46.665999999999997</v>
      </c>
      <c r="E815" s="88"/>
    </row>
    <row r="816" spans="3:5">
      <c r="C816" s="87">
        <v>45168</v>
      </c>
      <c r="D816" s="88">
        <v>49.043999999999997</v>
      </c>
      <c r="E816" s="88"/>
    </row>
    <row r="817" spans="3:5">
      <c r="C817" s="87">
        <v>45169</v>
      </c>
      <c r="D817" s="88">
        <v>49.38</v>
      </c>
      <c r="E817" s="88"/>
    </row>
    <row r="818" spans="3:5">
      <c r="C818" s="87">
        <v>45170</v>
      </c>
      <c r="D818" s="88">
        <v>49.762</v>
      </c>
      <c r="E818" s="88"/>
    </row>
    <row r="819" spans="3:5">
      <c r="C819" s="87">
        <v>45174</v>
      </c>
      <c r="D819" s="88">
        <v>48.222999999999999</v>
      </c>
      <c r="E819" s="88"/>
    </row>
    <row r="820" spans="3:5">
      <c r="C820" s="87">
        <v>45175</v>
      </c>
      <c r="D820" s="88">
        <v>48.441000000000003</v>
      </c>
      <c r="E820" s="88"/>
    </row>
    <row r="821" spans="3:5">
      <c r="C821" s="87">
        <v>45176</v>
      </c>
      <c r="D821" s="88">
        <v>45.524999999999999</v>
      </c>
      <c r="E821" s="88"/>
    </row>
    <row r="822" spans="3:5">
      <c r="C822" s="87">
        <v>45177</v>
      </c>
      <c r="D822" s="88">
        <v>45.942</v>
      </c>
      <c r="E822" s="88"/>
    </row>
    <row r="823" spans="3:5">
      <c r="C823" s="87">
        <v>45180</v>
      </c>
      <c r="D823" s="88">
        <v>46.148000000000003</v>
      </c>
      <c r="E823" s="88"/>
    </row>
    <row r="824" spans="3:5">
      <c r="C824" s="87">
        <v>45181</v>
      </c>
      <c r="D824" s="88">
        <v>44.738</v>
      </c>
      <c r="E824" s="88"/>
    </row>
    <row r="825" spans="3:5">
      <c r="C825" s="87">
        <v>45182</v>
      </c>
      <c r="D825" s="88">
        <v>44.6</v>
      </c>
      <c r="E825" s="88"/>
    </row>
    <row r="826" spans="3:5">
      <c r="C826" s="87">
        <v>45183</v>
      </c>
      <c r="D826" s="88">
        <v>45.95</v>
      </c>
      <c r="E826" s="88"/>
    </row>
    <row r="827" spans="3:5">
      <c r="C827" s="87">
        <v>45184</v>
      </c>
      <c r="D827" s="88">
        <v>45.341000000000001</v>
      </c>
      <c r="E827" s="88"/>
    </row>
    <row r="828" spans="3:5">
      <c r="C828" s="87">
        <v>45187</v>
      </c>
      <c r="D828" s="88">
        <v>42.747999999999998</v>
      </c>
      <c r="E828" s="88"/>
    </row>
    <row r="829" spans="3:5">
      <c r="C829" s="87">
        <v>45188</v>
      </c>
      <c r="D829" s="88">
        <v>43.832999999999998</v>
      </c>
      <c r="E829" s="88"/>
    </row>
    <row r="830" spans="3:5">
      <c r="C830" s="87">
        <v>45189</v>
      </c>
      <c r="D830" s="88">
        <v>43.6</v>
      </c>
      <c r="E830" s="88"/>
    </row>
    <row r="831" spans="3:5">
      <c r="C831" s="87">
        <v>45190</v>
      </c>
      <c r="D831" s="88">
        <v>41.582999999999998</v>
      </c>
      <c r="E831" s="88"/>
    </row>
    <row r="832" spans="3:5">
      <c r="C832" s="87">
        <v>45191</v>
      </c>
      <c r="D832" s="88">
        <v>41.572000000000003</v>
      </c>
      <c r="E832" s="88"/>
    </row>
    <row r="833" spans="3:5">
      <c r="C833" s="87">
        <v>45194</v>
      </c>
      <c r="D833" s="88">
        <v>41.591000000000001</v>
      </c>
      <c r="E833" s="88"/>
    </row>
    <row r="834" spans="3:5">
      <c r="C834" s="87">
        <v>45195</v>
      </c>
      <c r="D834" s="88">
        <v>42.000999999999998</v>
      </c>
      <c r="E834" s="88"/>
    </row>
    <row r="835" spans="3:5">
      <c r="C835" s="87">
        <v>45196</v>
      </c>
      <c r="D835" s="88">
        <v>42.33</v>
      </c>
      <c r="E835" s="88"/>
    </row>
    <row r="836" spans="3:5">
      <c r="C836" s="87">
        <v>45197</v>
      </c>
      <c r="D836" s="88">
        <v>42.46</v>
      </c>
      <c r="E836" s="88"/>
    </row>
    <row r="837" spans="3:5">
      <c r="C837" s="87">
        <v>45198</v>
      </c>
      <c r="D837" s="88">
        <v>43.826999999999998</v>
      </c>
      <c r="E837" s="88"/>
    </row>
    <row r="838" spans="3:5">
      <c r="C838" s="87">
        <v>45201</v>
      </c>
      <c r="D838" s="88">
        <v>44.03</v>
      </c>
      <c r="E838" s="88"/>
    </row>
    <row r="839" spans="3:5">
      <c r="C839" s="87">
        <v>45202</v>
      </c>
      <c r="D839" s="88">
        <v>44.808</v>
      </c>
      <c r="E839" s="88"/>
    </row>
    <row r="840" spans="3:5">
      <c r="C840" s="87">
        <v>45203</v>
      </c>
      <c r="D840" s="88">
        <v>43.741999999999997</v>
      </c>
      <c r="E840" s="88"/>
    </row>
    <row r="841" spans="3:5">
      <c r="C841" s="87">
        <v>45204</v>
      </c>
      <c r="D841" s="88">
        <v>44.05</v>
      </c>
      <c r="E841" s="88"/>
    </row>
    <row r="842" spans="3:5">
      <c r="C842" s="87">
        <v>45205</v>
      </c>
      <c r="D842" s="88">
        <v>44.192999999999998</v>
      </c>
      <c r="E842" s="88"/>
    </row>
    <row r="843" spans="3:5">
      <c r="C843" s="87">
        <v>45208</v>
      </c>
      <c r="D843" s="88">
        <v>44.841999999999999</v>
      </c>
      <c r="E843" s="88"/>
    </row>
    <row r="844" spans="3:5">
      <c r="C844" s="87">
        <v>45209</v>
      </c>
      <c r="D844" s="88">
        <v>45.31</v>
      </c>
      <c r="E844" s="88"/>
    </row>
    <row r="845" spans="3:5">
      <c r="C845" s="87">
        <v>45210</v>
      </c>
      <c r="D845" s="88">
        <v>46.195999999999998</v>
      </c>
      <c r="E845" s="88"/>
    </row>
    <row r="846" spans="3:5">
      <c r="C846" s="87">
        <v>45211</v>
      </c>
      <c r="D846" s="88">
        <v>46.777000000000001</v>
      </c>
      <c r="E846" s="88"/>
    </row>
    <row r="847" spans="3:5">
      <c r="C847" s="87">
        <v>45212</v>
      </c>
      <c r="D847" s="88">
        <v>46.96</v>
      </c>
      <c r="E847" s="88"/>
    </row>
    <row r="848" spans="3:5">
      <c r="C848" s="87">
        <v>45215</v>
      </c>
      <c r="D848" s="88">
        <v>45.063000000000002</v>
      </c>
      <c r="E848" s="88"/>
    </row>
    <row r="849" spans="3:5">
      <c r="C849" s="87">
        <v>45216</v>
      </c>
      <c r="D849" s="88">
        <v>44</v>
      </c>
      <c r="E849" s="88"/>
    </row>
    <row r="850" spans="3:5">
      <c r="C850" s="87">
        <v>45217</v>
      </c>
      <c r="D850" s="88">
        <v>42.591000000000001</v>
      </c>
      <c r="E850" s="88"/>
    </row>
    <row r="851" spans="3:5">
      <c r="C851" s="87">
        <v>45218</v>
      </c>
      <c r="D851" s="88">
        <v>42.811</v>
      </c>
      <c r="E851" s="88"/>
    </row>
    <row r="852" spans="3:5">
      <c r="C852" s="87">
        <v>45219</v>
      </c>
      <c r="D852" s="88">
        <v>41.89</v>
      </c>
      <c r="E852" s="88"/>
    </row>
    <row r="853" spans="3:5">
      <c r="C853" s="87">
        <v>45222</v>
      </c>
      <c r="D853" s="88">
        <v>41.228999999999999</v>
      </c>
      <c r="E853" s="88"/>
    </row>
    <row r="854" spans="3:5">
      <c r="C854" s="87">
        <v>45223</v>
      </c>
      <c r="D854" s="88">
        <v>43.076999999999998</v>
      </c>
      <c r="E854" s="88"/>
    </row>
    <row r="855" spans="3:5">
      <c r="C855" s="87">
        <v>45224</v>
      </c>
      <c r="D855" s="88">
        <v>43.398000000000003</v>
      </c>
      <c r="E855" s="88"/>
    </row>
    <row r="856" spans="3:5">
      <c r="C856" s="87">
        <v>45225</v>
      </c>
      <c r="D856" s="88">
        <v>41.853000000000002</v>
      </c>
      <c r="E856" s="88"/>
    </row>
    <row r="857" spans="3:5">
      <c r="C857" s="87">
        <v>45226</v>
      </c>
      <c r="D857" s="88">
        <v>41.13</v>
      </c>
      <c r="E857" s="88"/>
    </row>
    <row r="858" spans="3:5">
      <c r="C858" s="87">
        <v>45229</v>
      </c>
      <c r="D858" s="88">
        <v>41.087000000000003</v>
      </c>
      <c r="E858" s="88"/>
    </row>
    <row r="859" spans="3:5">
      <c r="C859" s="87">
        <v>45230</v>
      </c>
      <c r="D859" s="88">
        <v>40.450000000000003</v>
      </c>
      <c r="E859" s="88"/>
    </row>
    <row r="860" spans="3:5">
      <c r="C860" s="87">
        <v>45231</v>
      </c>
      <c r="D860" s="88">
        <v>40.884</v>
      </c>
      <c r="E860" s="88"/>
    </row>
    <row r="861" spans="3:5">
      <c r="C861" s="87">
        <v>45232</v>
      </c>
      <c r="D861" s="88">
        <v>43.328000000000003</v>
      </c>
      <c r="E861" s="88"/>
    </row>
    <row r="862" spans="3:5">
      <c r="C862" s="87">
        <v>45233</v>
      </c>
      <c r="D862" s="88">
        <v>44.02</v>
      </c>
      <c r="E862" s="88"/>
    </row>
    <row r="863" spans="3:5">
      <c r="C863" s="87">
        <v>45236</v>
      </c>
      <c r="D863" s="88">
        <v>45.284999999999997</v>
      </c>
      <c r="E863" s="88"/>
    </row>
    <row r="864" spans="3:5">
      <c r="C864" s="87">
        <v>45237</v>
      </c>
      <c r="D864" s="88">
        <v>45.719000000000001</v>
      </c>
      <c r="E864" s="88"/>
    </row>
    <row r="865" spans="3:5">
      <c r="C865" s="87">
        <v>45238</v>
      </c>
      <c r="D865" s="88">
        <v>46.1</v>
      </c>
      <c r="E865" s="88"/>
    </row>
    <row r="866" spans="3:5">
      <c r="C866" s="87">
        <v>45239</v>
      </c>
      <c r="D866" s="88">
        <v>46.573999999999998</v>
      </c>
      <c r="E866" s="88"/>
    </row>
    <row r="867" spans="3:5">
      <c r="C867" s="87">
        <v>45240</v>
      </c>
      <c r="D867" s="88">
        <v>47.5</v>
      </c>
      <c r="E867" s="88"/>
    </row>
    <row r="868" spans="3:5">
      <c r="C868" s="87">
        <v>45243</v>
      </c>
      <c r="D868" s="88">
        <v>48.32</v>
      </c>
      <c r="E868" s="88"/>
    </row>
    <row r="869" spans="3:5">
      <c r="C869" s="87">
        <v>45244</v>
      </c>
      <c r="D869" s="88">
        <v>49.68</v>
      </c>
      <c r="E869" s="88"/>
    </row>
    <row r="870" spans="3:5">
      <c r="C870" s="87">
        <v>45245</v>
      </c>
      <c r="D870" s="88">
        <v>49.935000000000002</v>
      </c>
      <c r="E870" s="88"/>
    </row>
    <row r="871" spans="3:5">
      <c r="C871" s="87">
        <v>45246</v>
      </c>
      <c r="D871" s="88">
        <v>48.679000000000002</v>
      </c>
      <c r="E871" s="88"/>
    </row>
    <row r="872" spans="3:5">
      <c r="C872" s="87">
        <v>45247</v>
      </c>
      <c r="D872" s="88">
        <v>49.524000000000001</v>
      </c>
      <c r="E872" s="88"/>
    </row>
    <row r="873" spans="3:5">
      <c r="C873" s="87">
        <v>45250</v>
      </c>
      <c r="D873" s="88">
        <v>49.311999999999998</v>
      </c>
      <c r="E873" s="88"/>
    </row>
    <row r="874" spans="3:5">
      <c r="C874" s="87">
        <v>45251</v>
      </c>
      <c r="D874" s="88">
        <v>50.125999999999998</v>
      </c>
      <c r="E874" s="88"/>
    </row>
    <row r="875" spans="3:5">
      <c r="C875" s="87">
        <v>45252</v>
      </c>
      <c r="D875" s="88">
        <v>49.851999999999997</v>
      </c>
      <c r="E875" s="88"/>
    </row>
    <row r="876" spans="3:5">
      <c r="C876" s="87">
        <v>45254</v>
      </c>
      <c r="D876" s="88">
        <v>48.47</v>
      </c>
      <c r="E876" s="88"/>
    </row>
    <row r="877" spans="3:5">
      <c r="C877" s="87">
        <v>45257</v>
      </c>
      <c r="D877" s="88">
        <v>47.8</v>
      </c>
      <c r="E877" s="88"/>
    </row>
    <row r="878" spans="3:5">
      <c r="C878" s="87">
        <v>45258</v>
      </c>
      <c r="D878" s="88">
        <v>48.235999999999997</v>
      </c>
      <c r="E878" s="88"/>
    </row>
    <row r="879" spans="3:5">
      <c r="C879" s="87">
        <v>45259</v>
      </c>
      <c r="D879" s="88">
        <v>48.378999999999998</v>
      </c>
      <c r="E879" s="88"/>
    </row>
    <row r="880" spans="3:5">
      <c r="C880" s="87">
        <v>45260</v>
      </c>
      <c r="D880" s="88">
        <v>48.024000000000001</v>
      </c>
      <c r="E880" s="88"/>
    </row>
    <row r="881" spans="3:5">
      <c r="C881" s="87">
        <v>45261</v>
      </c>
      <c r="D881" s="88">
        <v>46.524999999999999</v>
      </c>
      <c r="E881" s="88"/>
    </row>
    <row r="882" spans="3:5">
      <c r="C882" s="87">
        <v>45264</v>
      </c>
      <c r="D882" s="88">
        <v>46.076999999999998</v>
      </c>
      <c r="E882" s="88"/>
    </row>
    <row r="883" spans="3:5">
      <c r="C883" s="87">
        <v>45265</v>
      </c>
      <c r="D883" s="88">
        <v>45.466000000000001</v>
      </c>
      <c r="E883" s="88"/>
    </row>
    <row r="884" spans="3:5">
      <c r="C884" s="87">
        <v>45266</v>
      </c>
      <c r="D884" s="88">
        <v>47.215000000000003</v>
      </c>
      <c r="E884" s="88"/>
    </row>
    <row r="885" spans="3:5">
      <c r="C885" s="87">
        <v>45267</v>
      </c>
      <c r="D885" s="88">
        <v>45.7</v>
      </c>
      <c r="E885" s="88"/>
    </row>
    <row r="886" spans="3:5">
      <c r="C886" s="87">
        <v>45268</v>
      </c>
      <c r="D886" s="88">
        <v>46.594999999999999</v>
      </c>
      <c r="E886" s="88"/>
    </row>
    <row r="887" spans="3:5">
      <c r="C887" s="87">
        <v>45271</v>
      </c>
      <c r="D887" s="88">
        <v>47.491</v>
      </c>
      <c r="E887" s="88"/>
    </row>
    <row r="888" spans="3:5">
      <c r="C888" s="87">
        <v>45272</v>
      </c>
      <c r="D888" s="88">
        <v>46.045999999999999</v>
      </c>
      <c r="E888" s="88"/>
    </row>
    <row r="889" spans="3:5">
      <c r="C889" s="87">
        <v>45273</v>
      </c>
      <c r="D889" s="88">
        <v>47.628999999999998</v>
      </c>
      <c r="E889" s="88"/>
    </row>
    <row r="890" spans="3:5">
      <c r="C890" s="87">
        <v>45274</v>
      </c>
      <c r="D890" s="88">
        <v>48.39</v>
      </c>
      <c r="E890" s="88"/>
    </row>
    <row r="891" spans="3:5">
      <c r="C891" s="87">
        <v>45275</v>
      </c>
      <c r="D891" s="88">
        <v>48.194000000000003</v>
      </c>
      <c r="E891" s="88"/>
    </row>
    <row r="892" spans="3:5">
      <c r="C892" s="87">
        <v>45278</v>
      </c>
      <c r="D892" s="88">
        <v>49.4</v>
      </c>
      <c r="E892" s="88"/>
    </row>
    <row r="893" spans="3:5">
      <c r="C893" s="87">
        <v>45279</v>
      </c>
      <c r="D893" s="88">
        <v>49.423999999999999</v>
      </c>
      <c r="E893" s="88"/>
    </row>
    <row r="894" spans="3:5">
      <c r="C894" s="87">
        <v>45280</v>
      </c>
      <c r="D894" s="88">
        <v>49.655000000000001</v>
      </c>
      <c r="E894" s="88"/>
    </row>
    <row r="895" spans="3:5">
      <c r="C895" s="87">
        <v>45281</v>
      </c>
      <c r="D895" s="88">
        <v>48.811</v>
      </c>
      <c r="E895" s="88"/>
    </row>
    <row r="896" spans="3:5">
      <c r="C896" s="87">
        <v>45282</v>
      </c>
      <c r="D896" s="88">
        <v>49.195</v>
      </c>
      <c r="E896" s="88"/>
    </row>
    <row r="897" spans="3:5">
      <c r="C897" s="87">
        <v>45286</v>
      </c>
      <c r="D897" s="88">
        <v>48.968000000000004</v>
      </c>
      <c r="E897" s="88"/>
    </row>
    <row r="898" spans="3:5">
      <c r="C898" s="87">
        <v>45287</v>
      </c>
      <c r="D898" s="88">
        <v>49.511000000000003</v>
      </c>
      <c r="E898" s="88"/>
    </row>
    <row r="899" spans="3:5">
      <c r="C899" s="87">
        <v>45288</v>
      </c>
      <c r="D899" s="88">
        <v>49.643000000000001</v>
      </c>
      <c r="E899" s="88"/>
    </row>
    <row r="900" spans="3:5">
      <c r="C900" s="87">
        <v>45289</v>
      </c>
      <c r="D900" s="88">
        <v>49.813000000000002</v>
      </c>
      <c r="E900" s="88"/>
    </row>
    <row r="901" spans="3:5">
      <c r="C901" s="87">
        <v>45293</v>
      </c>
      <c r="D901" s="88">
        <v>49.244</v>
      </c>
      <c r="E901" s="88"/>
    </row>
    <row r="902" spans="3:5">
      <c r="C902" s="87">
        <v>45294</v>
      </c>
      <c r="D902" s="88">
        <v>47.484999999999999</v>
      </c>
      <c r="E902" s="88"/>
    </row>
    <row r="903" spans="3:5">
      <c r="C903" s="87">
        <v>45295</v>
      </c>
      <c r="D903" s="88">
        <v>47.767000000000003</v>
      </c>
      <c r="E903" s="88"/>
    </row>
    <row r="904" spans="3:5">
      <c r="C904" s="87">
        <v>45296</v>
      </c>
      <c r="D904" s="88">
        <v>48.462000000000003</v>
      </c>
      <c r="E904" s="88"/>
    </row>
    <row r="905" spans="3:5">
      <c r="C905" s="87">
        <v>45299</v>
      </c>
      <c r="D905" s="88">
        <v>49.512</v>
      </c>
      <c r="E905" s="88"/>
    </row>
    <row r="906" spans="3:5">
      <c r="C906" s="87">
        <v>45300</v>
      </c>
      <c r="D906" s="88">
        <v>52.401000000000003</v>
      </c>
      <c r="E906" s="88"/>
    </row>
    <row r="907" spans="3:5">
      <c r="C907" s="87">
        <v>45301</v>
      </c>
      <c r="D907" s="88">
        <v>53.616</v>
      </c>
      <c r="E907" s="88"/>
    </row>
    <row r="908" spans="3:5">
      <c r="C908" s="87">
        <v>45302</v>
      </c>
      <c r="D908" s="88">
        <v>54.999000000000002</v>
      </c>
      <c r="E908" s="88"/>
    </row>
    <row r="909" spans="3:5">
      <c r="C909" s="87">
        <v>45303</v>
      </c>
      <c r="D909" s="88">
        <v>54.62</v>
      </c>
      <c r="E909" s="88"/>
    </row>
    <row r="910" spans="3:5">
      <c r="C910" s="87">
        <v>45307</v>
      </c>
      <c r="D910" s="88">
        <v>55.018000000000001</v>
      </c>
      <c r="E910" s="88"/>
    </row>
    <row r="911" spans="3:5">
      <c r="C911" s="87">
        <v>45308</v>
      </c>
      <c r="D911" s="88">
        <v>56.347000000000001</v>
      </c>
      <c r="E911" s="88"/>
    </row>
    <row r="912" spans="3:5">
      <c r="C912" s="87">
        <v>45309</v>
      </c>
      <c r="D912" s="88">
        <v>57.26</v>
      </c>
      <c r="E912" s="88"/>
    </row>
    <row r="913" spans="3:5">
      <c r="C913" s="87">
        <v>45310</v>
      </c>
      <c r="D913" s="88">
        <v>57.988999999999997</v>
      </c>
      <c r="E913" s="88"/>
    </row>
    <row r="914" spans="3:5">
      <c r="C914" s="87">
        <v>45313</v>
      </c>
      <c r="D914" s="88">
        <v>60.048999999999999</v>
      </c>
      <c r="E914" s="88"/>
    </row>
    <row r="915" spans="3:5">
      <c r="C915" s="87">
        <v>45314</v>
      </c>
      <c r="D915" s="88">
        <v>59.57</v>
      </c>
      <c r="E915" s="88"/>
    </row>
    <row r="916" spans="3:5">
      <c r="C916" s="87">
        <v>45315</v>
      </c>
      <c r="D916" s="88">
        <v>60.304000000000002</v>
      </c>
      <c r="E916" s="88"/>
    </row>
    <row r="917" spans="3:5">
      <c r="C917" s="87">
        <v>45316</v>
      </c>
      <c r="D917" s="88">
        <v>62.35</v>
      </c>
      <c r="E917" s="88"/>
    </row>
    <row r="918" spans="3:5">
      <c r="C918" s="87">
        <v>45317</v>
      </c>
      <c r="D918" s="88">
        <v>60.96</v>
      </c>
      <c r="E918" s="88"/>
    </row>
    <row r="919" spans="3:5">
      <c r="C919" s="87">
        <v>45320</v>
      </c>
      <c r="D919" s="88">
        <v>61.231999999999999</v>
      </c>
      <c r="E919" s="88"/>
    </row>
    <row r="920" spans="3:5">
      <c r="C920" s="87">
        <v>45321</v>
      </c>
      <c r="D920" s="88">
        <v>62.9</v>
      </c>
      <c r="E920" s="88"/>
    </row>
    <row r="921" spans="3:5">
      <c r="C921" s="87">
        <v>45322</v>
      </c>
      <c r="D921" s="88">
        <v>61.44</v>
      </c>
      <c r="E921" s="88"/>
    </row>
    <row r="922" spans="3:5">
      <c r="C922" s="87">
        <v>45323</v>
      </c>
      <c r="D922" s="88">
        <v>62.1</v>
      </c>
      <c r="E922" s="88"/>
    </row>
    <row r="923" spans="3:5">
      <c r="C923" s="87">
        <v>45324</v>
      </c>
      <c r="D923" s="88">
        <v>63.973999999999997</v>
      </c>
      <c r="E923" s="88"/>
    </row>
    <row r="924" spans="3:5">
      <c r="C924" s="87">
        <v>45327</v>
      </c>
      <c r="D924" s="88">
        <v>68.224999999999994</v>
      </c>
      <c r="E924" s="88"/>
    </row>
    <row r="925" spans="3:5">
      <c r="C925" s="87">
        <v>45328</v>
      </c>
      <c r="D925" s="88">
        <v>69.63</v>
      </c>
      <c r="E925" s="88"/>
    </row>
    <row r="926" spans="3:5">
      <c r="C926" s="87">
        <v>45329</v>
      </c>
      <c r="D926" s="88">
        <v>68.319000000000003</v>
      </c>
      <c r="E926" s="88"/>
    </row>
    <row r="927" spans="3:5">
      <c r="C927" s="87">
        <v>45330</v>
      </c>
      <c r="D927" s="88">
        <v>70.073999999999998</v>
      </c>
      <c r="E927" s="88"/>
    </row>
    <row r="928" spans="3:5">
      <c r="C928" s="87">
        <v>45331</v>
      </c>
      <c r="D928" s="88">
        <v>70.533000000000001</v>
      </c>
      <c r="E928" s="88"/>
    </row>
    <row r="929" spans="3:5">
      <c r="C929" s="87">
        <v>45334</v>
      </c>
      <c r="D929" s="88">
        <v>72.599999999999994</v>
      </c>
      <c r="E929" s="88"/>
    </row>
    <row r="930" spans="3:5">
      <c r="C930" s="87">
        <v>45335</v>
      </c>
      <c r="D930" s="88">
        <v>70.400000000000006</v>
      </c>
      <c r="E930" s="88"/>
    </row>
    <row r="931" spans="3:5">
      <c r="C931" s="87">
        <v>45336</v>
      </c>
      <c r="D931" s="88">
        <v>73.201999999999998</v>
      </c>
      <c r="E931" s="88"/>
    </row>
    <row r="932" spans="3:5">
      <c r="C932" s="87">
        <v>45337</v>
      </c>
      <c r="D932" s="88">
        <v>73.869</v>
      </c>
      <c r="E932" s="88"/>
    </row>
    <row r="933" spans="3:5">
      <c r="C933" s="87">
        <v>45338</v>
      </c>
      <c r="D933" s="88">
        <v>74.099999999999994</v>
      </c>
      <c r="E933" s="88"/>
    </row>
    <row r="934" spans="3:5">
      <c r="C934" s="87">
        <v>45342</v>
      </c>
      <c r="D934" s="88">
        <v>71.947000000000003</v>
      </c>
      <c r="E934" s="88"/>
    </row>
    <row r="935" spans="3:5">
      <c r="C935" s="87">
        <v>45343</v>
      </c>
      <c r="D935" s="88">
        <v>68.006</v>
      </c>
      <c r="E935" s="88"/>
    </row>
    <row r="936" spans="3:5">
      <c r="C936" s="87">
        <v>45344</v>
      </c>
      <c r="D936" s="88">
        <v>75.025000000000006</v>
      </c>
      <c r="E936" s="88"/>
    </row>
    <row r="937" spans="3:5">
      <c r="C937" s="87">
        <v>45345</v>
      </c>
      <c r="D937" s="88">
        <v>80.790000000000006</v>
      </c>
      <c r="E937" s="88"/>
    </row>
    <row r="938" spans="3:5">
      <c r="C938" s="87">
        <v>45348</v>
      </c>
      <c r="D938" s="88">
        <v>79.7</v>
      </c>
      <c r="E938" s="88"/>
    </row>
    <row r="939" spans="3:5">
      <c r="C939" s="87">
        <v>45349</v>
      </c>
      <c r="D939" s="88">
        <v>79.381</v>
      </c>
      <c r="E939" s="88"/>
    </row>
    <row r="940" spans="3:5">
      <c r="C940" s="87">
        <v>45350</v>
      </c>
      <c r="D940" s="88">
        <v>77.62</v>
      </c>
      <c r="E940" s="88"/>
    </row>
    <row r="941" spans="3:5">
      <c r="C941" s="87">
        <v>45351</v>
      </c>
      <c r="D941" s="88">
        <v>79.093999999999994</v>
      </c>
      <c r="E941" s="88"/>
    </row>
    <row r="942" spans="3:5">
      <c r="C942" s="87">
        <v>45352</v>
      </c>
      <c r="D942" s="88">
        <v>80</v>
      </c>
      <c r="E942" s="88"/>
    </row>
    <row r="943" spans="3:5">
      <c r="C943" s="87">
        <v>45355</v>
      </c>
      <c r="D943" s="88">
        <v>84.13</v>
      </c>
      <c r="E943" s="88"/>
    </row>
    <row r="944" spans="3:5">
      <c r="C944" s="87">
        <v>45356</v>
      </c>
      <c r="D944" s="88">
        <v>85.27</v>
      </c>
      <c r="E944" s="88"/>
    </row>
    <row r="945" spans="3:5">
      <c r="C945" s="87">
        <v>45357</v>
      </c>
      <c r="D945" s="88">
        <v>88.022000000000006</v>
      </c>
      <c r="E945" s="88"/>
    </row>
    <row r="946" spans="3:5">
      <c r="C946" s="87">
        <v>45358</v>
      </c>
      <c r="D946" s="88">
        <v>90.158000000000001</v>
      </c>
      <c r="E946" s="88"/>
    </row>
    <row r="947" spans="3:5">
      <c r="C947" s="87">
        <v>45359</v>
      </c>
      <c r="D947" s="88">
        <v>95.138000000000005</v>
      </c>
      <c r="E947" s="88"/>
    </row>
    <row r="948" spans="3:5">
      <c r="C948" s="87">
        <v>45362</v>
      </c>
      <c r="D948" s="88">
        <v>86.429000000000002</v>
      </c>
      <c r="E948" s="88"/>
    </row>
    <row r="949" spans="3:5">
      <c r="C949" s="87">
        <v>45363</v>
      </c>
      <c r="D949" s="88">
        <v>88.049000000000007</v>
      </c>
      <c r="E949" s="88"/>
    </row>
    <row r="950" spans="3:5">
      <c r="C950" s="87">
        <v>45364</v>
      </c>
      <c r="D950" s="88">
        <v>91.055000000000007</v>
      </c>
      <c r="E950" s="88"/>
    </row>
    <row r="951" spans="3:5">
      <c r="C951" s="87">
        <v>45365</v>
      </c>
      <c r="D951" s="88">
        <v>89.576999999999998</v>
      </c>
      <c r="E951" s="88"/>
    </row>
    <row r="952" spans="3:5">
      <c r="C952" s="87">
        <v>45366</v>
      </c>
      <c r="D952" s="88">
        <v>86.93</v>
      </c>
      <c r="E952" s="88"/>
    </row>
    <row r="953" spans="3:5">
      <c r="C953" s="87">
        <v>45369</v>
      </c>
      <c r="D953" s="88">
        <v>90.388000000000005</v>
      </c>
      <c r="E953" s="88"/>
    </row>
    <row r="954" spans="3:5">
      <c r="C954" s="87">
        <v>45370</v>
      </c>
      <c r="D954" s="88">
        <v>86.7</v>
      </c>
      <c r="E954" s="88"/>
    </row>
    <row r="955" spans="3:5">
      <c r="C955" s="87">
        <v>45371</v>
      </c>
      <c r="D955" s="88">
        <v>89.796999999999997</v>
      </c>
      <c r="E955" s="88"/>
    </row>
    <row r="956" spans="3:5">
      <c r="C956" s="87">
        <v>45372</v>
      </c>
      <c r="D956" s="88">
        <v>92.3</v>
      </c>
      <c r="E956" s="88"/>
    </row>
    <row r="957" spans="3:5">
      <c r="C957" s="87">
        <v>45373</v>
      </c>
      <c r="D957" s="88">
        <v>91.141000000000005</v>
      </c>
      <c r="E957" s="88"/>
    </row>
    <row r="958" spans="3:5">
      <c r="C958" s="87">
        <v>45376</v>
      </c>
      <c r="D958" s="88">
        <v>93.941000000000003</v>
      </c>
      <c r="E958" s="88"/>
    </row>
    <row r="959" spans="3:5">
      <c r="C959" s="87">
        <v>45377</v>
      </c>
      <c r="D959" s="88">
        <v>95.850999999999999</v>
      </c>
      <c r="E959" s="88"/>
    </row>
    <row r="960" spans="3:5">
      <c r="C960" s="87">
        <v>45378</v>
      </c>
      <c r="D960" s="88">
        <v>93.111999999999995</v>
      </c>
      <c r="E960" s="88"/>
    </row>
    <row r="961" spans="3:5">
      <c r="C961" s="87">
        <v>45379</v>
      </c>
      <c r="D961" s="88">
        <v>90</v>
      </c>
      <c r="E961" s="88"/>
    </row>
    <row r="962" spans="3:5">
      <c r="C962" s="87">
        <v>45383</v>
      </c>
      <c r="D962" s="88">
        <v>90.299000000000007</v>
      </c>
      <c r="E962" s="88"/>
    </row>
    <row r="963" spans="3:5">
      <c r="C963" s="87">
        <v>45384</v>
      </c>
      <c r="D963" s="88">
        <v>88.447999999999993</v>
      </c>
      <c r="E963" s="88"/>
    </row>
    <row r="964" spans="3:5">
      <c r="C964" s="87">
        <v>45385</v>
      </c>
      <c r="D964" s="88">
        <v>88.483999999999995</v>
      </c>
      <c r="E964" s="88"/>
    </row>
    <row r="965" spans="3:5">
      <c r="C965" s="87">
        <v>45386</v>
      </c>
      <c r="D965" s="88">
        <v>90.406000000000006</v>
      </c>
      <c r="E965" s="88"/>
    </row>
    <row r="966" spans="3:5">
      <c r="C966" s="87">
        <v>45387</v>
      </c>
      <c r="D966" s="88">
        <v>86.866</v>
      </c>
      <c r="E966" s="88"/>
    </row>
    <row r="967" spans="3:5">
      <c r="C967" s="87">
        <v>45390</v>
      </c>
      <c r="D967" s="88">
        <v>88.7</v>
      </c>
      <c r="E967" s="88"/>
    </row>
    <row r="968" spans="3:5">
      <c r="C968" s="87">
        <v>45391</v>
      </c>
      <c r="D968" s="88">
        <v>87.441999999999993</v>
      </c>
      <c r="E968" s="88"/>
    </row>
    <row r="969" spans="3:5">
      <c r="C969" s="87">
        <v>45392</v>
      </c>
      <c r="D969" s="88">
        <v>83.926000000000002</v>
      </c>
      <c r="E969" s="88"/>
    </row>
    <row r="970" spans="3:5">
      <c r="C970" s="87">
        <v>45393</v>
      </c>
      <c r="D970" s="88">
        <v>87.42</v>
      </c>
      <c r="E970" s="88"/>
    </row>
    <row r="971" spans="3:5">
      <c r="C971" s="87">
        <v>45394</v>
      </c>
      <c r="D971" s="88">
        <v>89.698999999999998</v>
      </c>
      <c r="E971" s="88"/>
    </row>
    <row r="972" spans="3:5">
      <c r="C972" s="87">
        <v>45397</v>
      </c>
      <c r="D972" s="88">
        <v>89.097999999999999</v>
      </c>
      <c r="E972" s="88"/>
    </row>
    <row r="973" spans="3:5">
      <c r="C973" s="87">
        <v>45398</v>
      </c>
      <c r="D973" s="88">
        <v>86.433000000000007</v>
      </c>
      <c r="E973" s="88"/>
    </row>
    <row r="974" spans="3:5">
      <c r="C974" s="87">
        <v>45399</v>
      </c>
      <c r="D974" s="88">
        <v>88.34</v>
      </c>
      <c r="E974" s="88"/>
    </row>
    <row r="975" spans="3:5">
      <c r="C975" s="87">
        <v>45400</v>
      </c>
      <c r="D975" s="88">
        <v>84.97</v>
      </c>
      <c r="E975" s="88"/>
    </row>
    <row r="976" spans="3:5">
      <c r="C976" s="87">
        <v>45401</v>
      </c>
      <c r="D976" s="88">
        <v>83.15</v>
      </c>
      <c r="E976" s="88"/>
    </row>
    <row r="977" spans="3:5">
      <c r="C977" s="87">
        <v>45404</v>
      </c>
      <c r="D977" s="88">
        <v>78.103999999999999</v>
      </c>
      <c r="E977" s="88"/>
    </row>
    <row r="978" spans="3:5">
      <c r="C978" s="87">
        <v>45405</v>
      </c>
      <c r="D978" s="88">
        <v>80.769000000000005</v>
      </c>
      <c r="E978" s="88"/>
    </row>
    <row r="979" spans="3:5">
      <c r="C979" s="87">
        <v>45406</v>
      </c>
      <c r="D979" s="88">
        <v>83.95</v>
      </c>
      <c r="E979" s="88"/>
    </row>
    <row r="980" spans="3:5">
      <c r="C980" s="87">
        <v>45407</v>
      </c>
      <c r="D980" s="88">
        <v>78.867999999999995</v>
      </c>
      <c r="E980" s="88"/>
    </row>
    <row r="981" spans="3:5">
      <c r="C981" s="87">
        <v>45408</v>
      </c>
      <c r="D981" s="88">
        <v>83.817999999999998</v>
      </c>
      <c r="E981" s="88"/>
    </row>
    <row r="982" spans="3:5">
      <c r="C982" s="87">
        <v>45411</v>
      </c>
      <c r="D982" s="88">
        <v>87.594999999999999</v>
      </c>
      <c r="E982" s="88"/>
    </row>
    <row r="983" spans="3:5">
      <c r="C983" s="87">
        <v>45412</v>
      </c>
      <c r="D983" s="88">
        <v>87.24</v>
      </c>
      <c r="E983" s="88"/>
    </row>
    <row r="984" spans="3:5">
      <c r="C984" s="87">
        <v>45413</v>
      </c>
      <c r="D984" s="88">
        <v>85.076999999999998</v>
      </c>
      <c r="E984" s="88"/>
    </row>
    <row r="985" spans="3:5">
      <c r="C985" s="87">
        <v>45414</v>
      </c>
      <c r="D985" s="88">
        <v>84.448999999999998</v>
      </c>
      <c r="E985" s="88"/>
    </row>
    <row r="986" spans="3:5">
      <c r="C986" s="87">
        <v>45415</v>
      </c>
      <c r="D986" s="88">
        <v>87.789000000000001</v>
      </c>
      <c r="E986" s="88"/>
    </row>
    <row r="987" spans="3:5">
      <c r="C987" s="87">
        <v>45418</v>
      </c>
      <c r="D987" s="88">
        <v>89.39</v>
      </c>
      <c r="E987" s="88"/>
    </row>
    <row r="988" spans="3:5">
      <c r="C988" s="87">
        <v>45419</v>
      </c>
      <c r="D988" s="88">
        <v>91.097999999999999</v>
      </c>
      <c r="E988" s="88"/>
    </row>
    <row r="989" spans="3:5">
      <c r="C989" s="87">
        <v>45420</v>
      </c>
      <c r="D989" s="88">
        <v>89.483000000000004</v>
      </c>
      <c r="E989" s="88"/>
    </row>
    <row r="990" spans="3:5">
      <c r="C990" s="87">
        <v>45421</v>
      </c>
      <c r="D990" s="88">
        <v>90.528999999999996</v>
      </c>
      <c r="E990" s="88"/>
    </row>
    <row r="991" spans="3:5">
      <c r="C991" s="87">
        <v>45422</v>
      </c>
      <c r="D991" s="88">
        <v>90.305000000000007</v>
      </c>
      <c r="E991" s="88"/>
    </row>
    <row r="992" spans="3:5">
      <c r="C992" s="87">
        <v>45425</v>
      </c>
      <c r="D992" s="88">
        <v>90.477999999999994</v>
      </c>
      <c r="E992" s="88"/>
    </row>
    <row r="993" spans="3:5">
      <c r="C993" s="87">
        <v>45426</v>
      </c>
      <c r="D993" s="88">
        <v>89.599000000000004</v>
      </c>
      <c r="E993" s="88"/>
    </row>
    <row r="994" spans="3:5">
      <c r="C994" s="87">
        <v>45427</v>
      </c>
      <c r="D994" s="88">
        <v>92.471999999999994</v>
      </c>
      <c r="E994" s="88"/>
    </row>
    <row r="995" spans="3:5">
      <c r="C995" s="87">
        <v>45428</v>
      </c>
      <c r="D995" s="88">
        <v>94.91</v>
      </c>
      <c r="E995" s="88"/>
    </row>
    <row r="996" spans="3:5">
      <c r="C996" s="87">
        <v>45429</v>
      </c>
      <c r="D996" s="88">
        <v>94.369</v>
      </c>
      <c r="E996" s="88"/>
    </row>
    <row r="997" spans="3:5">
      <c r="C997" s="87">
        <v>45432</v>
      </c>
      <c r="D997" s="88">
        <v>93.75</v>
      </c>
      <c r="E997" s="88"/>
    </row>
    <row r="998" spans="3:5">
      <c r="C998" s="87">
        <v>45433</v>
      </c>
      <c r="D998" s="88">
        <v>93.599000000000004</v>
      </c>
      <c r="E998" s="88"/>
    </row>
    <row r="999" spans="3:5">
      <c r="C999" s="87">
        <v>45434</v>
      </c>
      <c r="D999" s="88">
        <v>95.459000000000003</v>
      </c>
      <c r="E999" s="88"/>
    </row>
    <row r="1000" spans="3:5">
      <c r="C1000" s="87">
        <v>45435</v>
      </c>
      <c r="D1000" s="88">
        <v>102.02800000000001</v>
      </c>
      <c r="E1000" s="88"/>
    </row>
    <row r="1001" spans="3:5">
      <c r="C1001" s="87">
        <v>45436</v>
      </c>
      <c r="D1001" s="88">
        <v>104.449</v>
      </c>
      <c r="E1001" s="88"/>
    </row>
    <row r="1002" spans="3:5">
      <c r="C1002" s="87">
        <v>45440</v>
      </c>
      <c r="D1002" s="88">
        <v>110.244</v>
      </c>
      <c r="E1002" s="88"/>
    </row>
    <row r="1003" spans="3:5">
      <c r="C1003" s="87">
        <v>45441</v>
      </c>
      <c r="D1003" s="88">
        <v>113.05</v>
      </c>
      <c r="E1003" s="88"/>
    </row>
    <row r="1004" spans="3:5">
      <c r="C1004" s="87">
        <v>45442</v>
      </c>
      <c r="D1004" s="88">
        <v>114.65</v>
      </c>
      <c r="E1004" s="88"/>
    </row>
    <row r="1005" spans="3:5">
      <c r="C1005" s="87">
        <v>45443</v>
      </c>
      <c r="D1005" s="88">
        <v>112.52</v>
      </c>
      <c r="E1005" s="88"/>
    </row>
    <row r="1006" spans="3:5">
      <c r="C1006" s="87">
        <v>45446</v>
      </c>
      <c r="D1006" s="88">
        <v>113.621</v>
      </c>
      <c r="E1006" s="88"/>
    </row>
    <row r="1007" spans="3:5">
      <c r="C1007" s="87">
        <v>45447</v>
      </c>
      <c r="D1007" s="88">
        <v>115.71599999999999</v>
      </c>
      <c r="E1007" s="88"/>
    </row>
    <row r="1008" spans="3:5">
      <c r="C1008" s="87">
        <v>45448</v>
      </c>
      <c r="D1008" s="88">
        <v>118.371</v>
      </c>
      <c r="E1008" s="88"/>
    </row>
    <row r="1009" spans="3:5">
      <c r="C1009" s="87">
        <v>45449</v>
      </c>
      <c r="D1009" s="88">
        <v>124.048</v>
      </c>
      <c r="E1009" s="88"/>
    </row>
    <row r="1010" spans="3:5">
      <c r="C1010" s="87">
        <v>45450</v>
      </c>
      <c r="D1010" s="88">
        <v>119.77</v>
      </c>
      <c r="E1010" s="88"/>
    </row>
    <row r="1011" spans="3:5">
      <c r="C1011" s="87">
        <v>45453</v>
      </c>
      <c r="D1011" s="88">
        <v>120.37</v>
      </c>
      <c r="E1011" s="88"/>
    </row>
    <row r="1012" spans="3:5">
      <c r="C1012" s="87">
        <v>45454</v>
      </c>
      <c r="D1012" s="88">
        <v>121.77</v>
      </c>
      <c r="E1012" s="88"/>
    </row>
    <row r="1013" spans="3:5">
      <c r="C1013" s="87">
        <v>45455</v>
      </c>
      <c r="D1013" s="88">
        <v>123.06</v>
      </c>
      <c r="E1013" s="88"/>
    </row>
    <row r="1014" spans="3:5">
      <c r="C1014" s="87">
        <v>45456</v>
      </c>
      <c r="D1014" s="88">
        <v>129.38999999999999</v>
      </c>
      <c r="E1014" s="88"/>
    </row>
    <row r="1015" spans="3:5">
      <c r="C1015" s="87">
        <v>45457</v>
      </c>
      <c r="D1015" s="88">
        <v>129.96</v>
      </c>
      <c r="E1015" s="88"/>
    </row>
    <row r="1016" spans="3:5">
      <c r="C1016" s="87">
        <v>45460</v>
      </c>
      <c r="D1016" s="88">
        <v>132.99</v>
      </c>
      <c r="E1016" s="88"/>
    </row>
    <row r="1017" spans="3:5">
      <c r="C1017" s="87">
        <v>45461</v>
      </c>
      <c r="D1017" s="88">
        <v>131.13999999999999</v>
      </c>
      <c r="E1017" s="88"/>
    </row>
    <row r="1018" spans="3:5">
      <c r="C1018" s="87">
        <v>45463</v>
      </c>
      <c r="D1018" s="88">
        <v>139.80000000000001</v>
      </c>
      <c r="E1018" s="88"/>
    </row>
    <row r="1019" spans="3:5">
      <c r="C1019" s="87">
        <v>45464</v>
      </c>
      <c r="D1019" s="88">
        <v>127.12</v>
      </c>
      <c r="E1019" s="88"/>
    </row>
    <row r="1020" spans="3:5">
      <c r="C1020" s="87">
        <v>45467</v>
      </c>
      <c r="D1020" s="88">
        <v>123.24</v>
      </c>
      <c r="E1020" s="88"/>
    </row>
    <row r="1021" spans="3:5">
      <c r="C1021" s="87">
        <v>45468</v>
      </c>
      <c r="D1021" s="88">
        <v>121.2</v>
      </c>
      <c r="E1021" s="88"/>
    </row>
    <row r="1022" spans="3:5">
      <c r="C1022" s="87">
        <v>45469</v>
      </c>
      <c r="D1022" s="88">
        <v>126.13</v>
      </c>
      <c r="E1022" s="88"/>
    </row>
    <row r="1023" spans="3:5">
      <c r="C1023" s="87">
        <v>45470</v>
      </c>
      <c r="D1023" s="88">
        <v>124.1</v>
      </c>
      <c r="E1023" s="88"/>
    </row>
    <row r="1024" spans="3:5">
      <c r="C1024" s="87">
        <v>45471</v>
      </c>
      <c r="D1024" s="88">
        <v>124.58</v>
      </c>
      <c r="E1024" s="88"/>
    </row>
    <row r="1025" spans="3:5">
      <c r="C1025" s="87">
        <v>45474</v>
      </c>
      <c r="D1025" s="88">
        <v>123.47</v>
      </c>
      <c r="E1025" s="88"/>
    </row>
    <row r="1026" spans="3:5">
      <c r="C1026" s="87">
        <v>45475</v>
      </c>
      <c r="D1026" s="88">
        <v>121.13</v>
      </c>
      <c r="E1026" s="88"/>
    </row>
    <row r="1027" spans="3:5">
      <c r="C1027" s="87">
        <v>45476</v>
      </c>
      <c r="D1027" s="88">
        <v>121.66</v>
      </c>
      <c r="E1027" s="88"/>
    </row>
    <row r="1028" spans="3:5">
      <c r="C1028" s="87">
        <v>45478</v>
      </c>
      <c r="D1028" s="88">
        <v>127.38</v>
      </c>
      <c r="E1028" s="88"/>
    </row>
    <row r="1029" spans="3:5">
      <c r="C1029" s="87">
        <v>45481</v>
      </c>
      <c r="D1029" s="88">
        <v>127.49</v>
      </c>
      <c r="E1029" s="88"/>
    </row>
    <row r="1030" spans="3:5">
      <c r="C1030" s="87">
        <v>45482</v>
      </c>
      <c r="D1030" s="88">
        <v>130.35</v>
      </c>
      <c r="E1030" s="88"/>
    </row>
    <row r="1031" spans="3:5">
      <c r="C1031" s="87">
        <v>45483</v>
      </c>
      <c r="D1031" s="88">
        <v>134.03</v>
      </c>
      <c r="E1031" s="88"/>
    </row>
    <row r="1032" spans="3:5">
      <c r="C1032" s="87">
        <v>45484</v>
      </c>
      <c r="D1032" s="88">
        <v>135.75</v>
      </c>
      <c r="E1032" s="88"/>
    </row>
    <row r="1033" spans="3:5">
      <c r="C1033" s="87">
        <v>45485</v>
      </c>
      <c r="D1033" s="88">
        <v>128.26</v>
      </c>
      <c r="E1033" s="88"/>
    </row>
    <row r="1034" spans="3:5">
      <c r="C1034" s="87">
        <v>45488</v>
      </c>
      <c r="D1034" s="88">
        <v>130.56</v>
      </c>
      <c r="E1034" s="88"/>
    </row>
    <row r="1035" spans="3:5">
      <c r="C1035" s="87">
        <v>45489</v>
      </c>
      <c r="D1035" s="88">
        <v>128.44</v>
      </c>
      <c r="E1035" s="88"/>
    </row>
    <row r="1036" spans="3:5">
      <c r="C1036" s="87">
        <v>45490</v>
      </c>
      <c r="D1036" s="88">
        <v>121.35</v>
      </c>
      <c r="E1036" s="88"/>
    </row>
    <row r="1037" spans="3:5">
      <c r="C1037" s="87">
        <v>45491</v>
      </c>
      <c r="D1037" s="88">
        <v>121.85</v>
      </c>
      <c r="E1037" s="88"/>
    </row>
    <row r="1038" spans="3:5">
      <c r="C1038" s="87">
        <v>45492</v>
      </c>
      <c r="D1038" s="88">
        <v>120.35</v>
      </c>
      <c r="E1038" s="88"/>
    </row>
    <row r="1039" spans="3:5">
      <c r="C1039" s="87">
        <v>45495</v>
      </c>
      <c r="D1039" s="88">
        <v>120.35</v>
      </c>
      <c r="E1039" s="88"/>
    </row>
    <row r="1040" spans="3:5">
      <c r="C1040" s="87">
        <v>45496</v>
      </c>
      <c r="D1040" s="88">
        <v>122.78</v>
      </c>
      <c r="E1040" s="88"/>
    </row>
    <row r="1041" spans="3:5">
      <c r="C1041" s="87">
        <v>45497</v>
      </c>
      <c r="D1041" s="88">
        <v>119.17</v>
      </c>
      <c r="E1041" s="88"/>
    </row>
    <row r="1042" spans="3:5">
      <c r="C1042" s="87">
        <v>45498</v>
      </c>
      <c r="D1042" s="88">
        <v>113.04</v>
      </c>
      <c r="E1042" s="88"/>
    </row>
    <row r="1043" spans="3:5">
      <c r="C1043" s="87">
        <v>45499</v>
      </c>
      <c r="D1043" s="88">
        <v>116.19</v>
      </c>
      <c r="E1043" s="88"/>
    </row>
    <row r="1044" spans="3:5">
      <c r="C1044" s="87">
        <v>45502</v>
      </c>
      <c r="D1044" s="88">
        <v>113.69</v>
      </c>
      <c r="E1044" s="88"/>
    </row>
    <row r="1045" spans="3:5">
      <c r="C1045" s="87">
        <v>45503</v>
      </c>
      <c r="D1045" s="88">
        <v>111.52</v>
      </c>
      <c r="E1045" s="88"/>
    </row>
    <row r="1046" spans="3:5">
      <c r="C1046" s="87">
        <v>45504</v>
      </c>
      <c r="D1046" s="88">
        <v>112.9</v>
      </c>
      <c r="E1046" s="88"/>
    </row>
    <row r="1047" spans="3:5">
      <c r="C1047" s="87">
        <v>45505</v>
      </c>
      <c r="D1047" s="88">
        <v>117.53</v>
      </c>
      <c r="E1047" s="88"/>
    </row>
    <row r="1048" spans="3:5">
      <c r="C1048" s="87">
        <v>45506</v>
      </c>
      <c r="D1048" s="88">
        <v>103.76</v>
      </c>
      <c r="E1048" s="88"/>
    </row>
    <row r="1049" spans="3:5">
      <c r="C1049" s="87">
        <v>45509</v>
      </c>
      <c r="D1049" s="88">
        <v>92.06</v>
      </c>
      <c r="E1049" s="88"/>
    </row>
    <row r="1050" spans="3:5">
      <c r="C1050" s="87">
        <v>45510</v>
      </c>
      <c r="D1050" s="88">
        <v>103.84</v>
      </c>
      <c r="E1050" s="88"/>
    </row>
    <row r="1051" spans="3:5">
      <c r="C1051" s="87">
        <v>45511</v>
      </c>
      <c r="D1051" s="88">
        <v>107.81</v>
      </c>
      <c r="E1051" s="88"/>
    </row>
    <row r="1052" spans="3:5">
      <c r="C1052" s="87">
        <v>45512</v>
      </c>
      <c r="D1052" s="88">
        <v>102</v>
      </c>
      <c r="E1052" s="88"/>
    </row>
    <row r="1053" spans="3:5">
      <c r="C1053" s="87">
        <v>45513</v>
      </c>
      <c r="D1053" s="88">
        <v>105.64</v>
      </c>
      <c r="E1053" s="88"/>
    </row>
    <row r="1054" spans="3:5">
      <c r="C1054" s="87">
        <v>45516</v>
      </c>
      <c r="D1054" s="88">
        <v>106.32</v>
      </c>
      <c r="E1054" s="88"/>
    </row>
    <row r="1055" spans="3:5">
      <c r="C1055" s="87">
        <v>45517</v>
      </c>
      <c r="D1055" s="88">
        <v>112.44</v>
      </c>
      <c r="E1055" s="88"/>
    </row>
    <row r="1056" spans="3:5">
      <c r="C1056" s="87">
        <v>45518</v>
      </c>
      <c r="D1056" s="88">
        <v>118.53</v>
      </c>
      <c r="E1056" s="88"/>
    </row>
    <row r="1057" spans="3:5">
      <c r="C1057" s="87">
        <v>45519</v>
      </c>
      <c r="D1057" s="88">
        <v>118.76</v>
      </c>
      <c r="E1057" s="88"/>
    </row>
    <row r="1058" spans="3:5">
      <c r="C1058" s="87">
        <v>45520</v>
      </c>
      <c r="D1058" s="88">
        <v>121.94</v>
      </c>
      <c r="E1058" s="88"/>
    </row>
    <row r="1059" spans="3:5">
      <c r="C1059" s="87">
        <v>45523</v>
      </c>
      <c r="D1059" s="88">
        <v>124.28</v>
      </c>
      <c r="E1059" s="88"/>
    </row>
    <row r="1060" spans="3:5">
      <c r="C1060" s="87">
        <v>45524</v>
      </c>
      <c r="D1060" s="88">
        <v>128.4</v>
      </c>
      <c r="E1060" s="88"/>
    </row>
    <row r="1061" spans="3:5">
      <c r="C1061" s="87">
        <v>45525</v>
      </c>
      <c r="D1061" s="88">
        <v>127.315</v>
      </c>
      <c r="E1061" s="88"/>
    </row>
    <row r="1062" spans="3:5">
      <c r="C1062" s="87">
        <v>45526</v>
      </c>
      <c r="D1062" s="88">
        <v>130.02000000000001</v>
      </c>
      <c r="E1062" s="88"/>
    </row>
    <row r="1063" spans="3:5">
      <c r="C1063" s="87">
        <v>45527</v>
      </c>
      <c r="D1063" s="88">
        <v>125.86</v>
      </c>
      <c r="E1063" s="88"/>
    </row>
    <row r="1064" spans="3:5">
      <c r="C1064" s="87">
        <v>45530</v>
      </c>
      <c r="D1064" s="88">
        <v>129.57</v>
      </c>
      <c r="E1064" s="88"/>
    </row>
    <row r="1065" spans="3:5">
      <c r="C1065" s="87">
        <v>45531</v>
      </c>
      <c r="D1065" s="88">
        <v>125.05</v>
      </c>
      <c r="E1065" s="88"/>
    </row>
    <row r="1066" spans="3:5">
      <c r="C1066" s="87">
        <v>45532</v>
      </c>
      <c r="D1066" s="88">
        <v>128.12</v>
      </c>
      <c r="E1066" s="88"/>
    </row>
    <row r="1067" spans="3:5">
      <c r="C1067" s="87">
        <v>45533</v>
      </c>
      <c r="D1067" s="88">
        <v>121.355</v>
      </c>
      <c r="E1067" s="88"/>
    </row>
    <row r="1068" spans="3:5">
      <c r="C1068" s="87">
        <v>45534</v>
      </c>
      <c r="D1068" s="88">
        <v>119.53</v>
      </c>
      <c r="E1068" s="88"/>
    </row>
    <row r="1069" spans="3:5">
      <c r="C1069" s="87">
        <v>45538</v>
      </c>
      <c r="D1069" s="88">
        <v>116.01</v>
      </c>
      <c r="E1069" s="88"/>
    </row>
    <row r="1070" spans="3:5">
      <c r="C1070" s="87">
        <v>45539</v>
      </c>
      <c r="D1070" s="88">
        <v>105.41</v>
      </c>
      <c r="E1070" s="88"/>
    </row>
    <row r="1071" spans="3:5">
      <c r="C1071" s="87">
        <v>45540</v>
      </c>
      <c r="D1071" s="88">
        <v>104.985</v>
      </c>
      <c r="E1071" s="88"/>
    </row>
    <row r="1072" spans="3:5">
      <c r="C1072" s="87">
        <v>45541</v>
      </c>
      <c r="D1072" s="88">
        <v>108.04</v>
      </c>
      <c r="E1072" s="88"/>
    </row>
    <row r="1073" spans="3:5">
      <c r="C1073" s="87">
        <v>45544</v>
      </c>
      <c r="D1073" s="88">
        <v>104.88</v>
      </c>
      <c r="E1073" s="88"/>
    </row>
    <row r="1074" spans="3:5">
      <c r="C1074" s="87">
        <v>45545</v>
      </c>
      <c r="D1074" s="88">
        <v>107.81</v>
      </c>
      <c r="E1074" s="88"/>
    </row>
    <row r="1075" spans="3:5">
      <c r="C1075" s="87">
        <v>45546</v>
      </c>
      <c r="D1075" s="88">
        <v>109.39</v>
      </c>
      <c r="E1075" s="88"/>
    </row>
    <row r="1076" spans="3:5">
      <c r="C1076" s="87">
        <v>45547</v>
      </c>
      <c r="D1076" s="88">
        <v>116.84</v>
      </c>
      <c r="E1076" s="88"/>
    </row>
    <row r="1077" spans="3:5">
      <c r="C1077" s="87">
        <v>45548</v>
      </c>
      <c r="D1077" s="88">
        <v>119.08</v>
      </c>
      <c r="E1077" s="88"/>
    </row>
    <row r="1078" spans="3:5">
      <c r="C1078" s="87">
        <v>45551</v>
      </c>
      <c r="D1078" s="88">
        <v>116.79</v>
      </c>
      <c r="E1078" s="88"/>
    </row>
    <row r="1079" spans="3:5">
      <c r="C1079" s="87">
        <v>45552</v>
      </c>
      <c r="D1079" s="88">
        <v>118.17</v>
      </c>
      <c r="E1079" s="88"/>
    </row>
    <row r="1080" spans="3:5">
      <c r="C1080" s="87">
        <v>45553</v>
      </c>
      <c r="D1080" s="88">
        <v>115.89</v>
      </c>
      <c r="E1080" s="88"/>
    </row>
    <row r="1081" spans="3:5">
      <c r="C1081" s="87">
        <v>45554</v>
      </c>
      <c r="D1081" s="88">
        <v>117.35</v>
      </c>
      <c r="E1081" s="88"/>
    </row>
    <row r="1082" spans="3:5">
      <c r="C1082" s="87">
        <v>45555</v>
      </c>
      <c r="D1082" s="88">
        <v>117.06</v>
      </c>
      <c r="E1082" s="88"/>
    </row>
    <row r="1083" spans="3:5">
      <c r="C1083" s="87">
        <v>45558</v>
      </c>
      <c r="D1083" s="88">
        <v>116.55</v>
      </c>
      <c r="E1083" s="88"/>
    </row>
    <row r="1084" spans="3:5">
      <c r="C1084" s="87">
        <v>45559</v>
      </c>
      <c r="D1084" s="88">
        <v>116.515</v>
      </c>
      <c r="E1084" s="88"/>
    </row>
    <row r="1085" spans="3:5">
      <c r="C1085" s="87">
        <v>45560</v>
      </c>
      <c r="D1085" s="88">
        <v>122.02</v>
      </c>
      <c r="E1085" s="88"/>
    </row>
    <row r="1086" spans="3:5">
      <c r="C1086" s="87">
        <v>45561</v>
      </c>
      <c r="D1086" s="88">
        <v>126.8</v>
      </c>
      <c r="E1086" s="88"/>
    </row>
    <row r="1087" spans="3:5">
      <c r="C1087" s="87">
        <v>45562</v>
      </c>
      <c r="D1087" s="88">
        <v>123.97</v>
      </c>
      <c r="E1087" s="88"/>
    </row>
    <row r="1088" spans="3:5">
      <c r="C1088" s="87">
        <v>45565</v>
      </c>
      <c r="D1088" s="88">
        <v>118.31</v>
      </c>
      <c r="E1088" s="88"/>
    </row>
    <row r="1089" spans="3:5">
      <c r="C1089" s="87">
        <v>45566</v>
      </c>
      <c r="D1089" s="88">
        <v>121.765</v>
      </c>
      <c r="E1089" s="88"/>
    </row>
    <row r="1090" spans="3:5">
      <c r="C1090" s="87">
        <v>45567</v>
      </c>
      <c r="D1090" s="88">
        <v>116.44</v>
      </c>
      <c r="E1090" s="88"/>
    </row>
    <row r="1091" spans="3:5">
      <c r="C1091" s="87">
        <v>45568</v>
      </c>
      <c r="D1091" s="88">
        <v>120.92</v>
      </c>
      <c r="E1091" s="88"/>
    </row>
    <row r="1092" spans="3:5">
      <c r="C1092" s="87">
        <v>45569</v>
      </c>
      <c r="D1092" s="88">
        <v>124.94</v>
      </c>
      <c r="E1092" s="88"/>
    </row>
    <row r="1093" spans="3:5">
      <c r="C1093" s="87">
        <v>45572</v>
      </c>
      <c r="D1093" s="88">
        <v>124.99</v>
      </c>
      <c r="E1093" s="88"/>
    </row>
    <row r="1094" spans="3:5">
      <c r="C1094" s="87">
        <v>45573</v>
      </c>
      <c r="D1094" s="88">
        <v>130.26</v>
      </c>
      <c r="E1094" s="88"/>
    </row>
    <row r="1095" spans="3:5">
      <c r="C1095" s="87">
        <v>45574</v>
      </c>
      <c r="D1095" s="88">
        <v>134.11000000000001</v>
      </c>
      <c r="E1095" s="88"/>
    </row>
    <row r="1096" spans="3:5">
      <c r="C1096" s="87">
        <v>45575</v>
      </c>
      <c r="D1096" s="88">
        <v>131.91</v>
      </c>
      <c r="E1096" s="88"/>
    </row>
    <row r="1097" spans="3:5">
      <c r="C1097" s="87">
        <v>45576</v>
      </c>
      <c r="D1097" s="88">
        <v>134.01</v>
      </c>
      <c r="E1097" s="88"/>
    </row>
    <row r="1098" spans="3:5">
      <c r="C1098" s="87">
        <v>45579</v>
      </c>
      <c r="D1098" s="88">
        <v>136.47</v>
      </c>
      <c r="E1098" s="88"/>
    </row>
    <row r="1099" spans="3:5">
      <c r="C1099" s="87">
        <v>45580</v>
      </c>
      <c r="D1099" s="88">
        <v>137.87</v>
      </c>
      <c r="E1099" s="88"/>
    </row>
    <row r="1100" spans="3:5">
      <c r="C1100" s="87">
        <v>45581</v>
      </c>
      <c r="D1100" s="88">
        <v>133.97999999999999</v>
      </c>
      <c r="E1100" s="88"/>
    </row>
    <row r="1101" spans="3:5">
      <c r="C1101" s="87">
        <v>45582</v>
      </c>
      <c r="D1101" s="88">
        <v>139.34</v>
      </c>
      <c r="E1101" s="88"/>
    </row>
    <row r="1102" spans="3:5">
      <c r="C1102" s="87">
        <v>45583</v>
      </c>
      <c r="D1102" s="88">
        <v>138.66499999999999</v>
      </c>
      <c r="E1102" s="88"/>
    </row>
    <row r="1103" spans="3:5">
      <c r="C1103" s="87">
        <v>45586</v>
      </c>
      <c r="D1103" s="88">
        <v>138.13</v>
      </c>
      <c r="E1103" s="88"/>
    </row>
    <row r="1104" spans="3:5">
      <c r="C1104" s="87">
        <v>45587</v>
      </c>
      <c r="D1104" s="88">
        <v>142.91</v>
      </c>
      <c r="E1104" s="88"/>
    </row>
    <row r="1105" spans="3:5">
      <c r="C1105" s="87">
        <v>45588</v>
      </c>
      <c r="D1105" s="88">
        <v>142.03</v>
      </c>
      <c r="E1105" s="88"/>
    </row>
    <row r="1106" spans="3:5">
      <c r="C1106" s="87">
        <v>45589</v>
      </c>
      <c r="D1106" s="88">
        <v>140.82</v>
      </c>
      <c r="E1106" s="88"/>
    </row>
    <row r="1107" spans="3:5">
      <c r="C1107" s="87">
        <v>45590</v>
      </c>
      <c r="D1107" s="88">
        <v>140.93</v>
      </c>
      <c r="E1107" s="88"/>
    </row>
    <row r="1108" spans="3:5">
      <c r="C1108" s="87">
        <v>45593</v>
      </c>
      <c r="D1108" s="88">
        <v>143</v>
      </c>
      <c r="E1108" s="88"/>
    </row>
    <row r="1109" spans="3:5">
      <c r="C1109" s="87">
        <v>45594</v>
      </c>
      <c r="D1109" s="88">
        <v>140.285</v>
      </c>
      <c r="E1109" s="88"/>
    </row>
    <row r="1110" spans="3:5">
      <c r="C1110" s="87">
        <v>45595</v>
      </c>
      <c r="D1110" s="88">
        <v>139.54</v>
      </c>
      <c r="E1110" s="88"/>
    </row>
    <row r="1111" spans="3:5">
      <c r="C1111" s="87">
        <v>45596</v>
      </c>
      <c r="D1111" s="88">
        <v>137.6</v>
      </c>
      <c r="E1111" s="88"/>
    </row>
    <row r="1112" spans="3:5">
      <c r="C1112" s="87">
        <v>45597</v>
      </c>
      <c r="D1112" s="88">
        <v>134.69999999999999</v>
      </c>
      <c r="E1112" s="88"/>
    </row>
    <row r="1113" spans="3:5">
      <c r="C1113" s="87">
        <v>45600</v>
      </c>
      <c r="D1113" s="88">
        <v>137.21</v>
      </c>
      <c r="E1113" s="88"/>
    </row>
    <row r="1114" spans="3:5">
      <c r="C1114" s="87">
        <v>45601</v>
      </c>
      <c r="D1114" s="88">
        <v>137.44999999999999</v>
      </c>
      <c r="E1114" s="88"/>
    </row>
    <row r="1115" spans="3:5">
      <c r="C1115" s="87">
        <v>45602</v>
      </c>
      <c r="D1115" s="88">
        <v>142.96</v>
      </c>
      <c r="E1115" s="88"/>
    </row>
    <row r="1116" spans="3:5">
      <c r="C1116" s="87">
        <v>45603</v>
      </c>
      <c r="D1116" s="88">
        <v>146.38999999999999</v>
      </c>
      <c r="E1116" s="88"/>
    </row>
    <row r="1117" spans="3:5">
      <c r="C1117" s="87">
        <v>45604</v>
      </c>
      <c r="D1117" s="88">
        <v>148.77000000000001</v>
      </c>
      <c r="E1117" s="88"/>
    </row>
    <row r="1118" spans="3:5">
      <c r="C1118" s="87">
        <v>45607</v>
      </c>
      <c r="D1118" s="88">
        <v>148.68</v>
      </c>
      <c r="E1118" s="88"/>
    </row>
    <row r="1119" spans="3:5">
      <c r="C1119" s="87">
        <v>45608</v>
      </c>
      <c r="D1119" s="88">
        <v>146.78</v>
      </c>
      <c r="E1119" s="88"/>
    </row>
    <row r="1120" spans="3:5">
      <c r="C1120" s="87">
        <v>45609</v>
      </c>
      <c r="D1120" s="88">
        <v>149.07</v>
      </c>
      <c r="E1120" s="88"/>
    </row>
    <row r="1121" spans="3:5">
      <c r="C1121" s="87">
        <v>45610</v>
      </c>
      <c r="D1121" s="88">
        <v>147.63999999999999</v>
      </c>
      <c r="E1121" s="88"/>
    </row>
    <row r="1122" spans="3:5">
      <c r="C1122" s="87">
        <v>45611</v>
      </c>
      <c r="D1122" s="88">
        <v>144.87</v>
      </c>
      <c r="E1122" s="88"/>
    </row>
    <row r="1123" spans="3:5">
      <c r="C1123" s="87">
        <v>45614</v>
      </c>
      <c r="D1123" s="88">
        <v>139.5</v>
      </c>
      <c r="E1123" s="88"/>
    </row>
    <row r="1124" spans="3:5">
      <c r="C1124" s="87">
        <v>45615</v>
      </c>
      <c r="D1124" s="88">
        <v>141.32</v>
      </c>
      <c r="E1124" s="88"/>
    </row>
    <row r="1125" spans="3:5">
      <c r="C1125" s="87">
        <v>45616</v>
      </c>
      <c r="D1125" s="88">
        <v>147.41</v>
      </c>
      <c r="E1125" s="88"/>
    </row>
    <row r="1126" spans="3:5">
      <c r="C1126" s="87">
        <v>45617</v>
      </c>
      <c r="D1126" s="88">
        <v>149.35</v>
      </c>
      <c r="E1126" s="88"/>
    </row>
    <row r="1127" spans="3:5">
      <c r="C1127" s="87">
        <v>45618</v>
      </c>
      <c r="D1127" s="88">
        <v>145.93</v>
      </c>
      <c r="E1127" s="88"/>
    </row>
    <row r="1128" spans="3:5">
      <c r="C1128" s="87">
        <v>45621</v>
      </c>
      <c r="D1128" s="88">
        <v>141.99</v>
      </c>
      <c r="E1128" s="88"/>
    </row>
    <row r="1129" spans="3:5">
      <c r="C1129" s="87">
        <v>45622</v>
      </c>
      <c r="D1129" s="88">
        <v>137.69999999999999</v>
      </c>
      <c r="E1129" s="88"/>
    </row>
    <row r="1130" spans="3:5">
      <c r="C1130" s="87">
        <v>45623</v>
      </c>
      <c r="D1130" s="88">
        <v>135.01</v>
      </c>
      <c r="E1130" s="88"/>
    </row>
    <row r="1131" spans="3:5">
      <c r="C1131" s="87">
        <v>45625</v>
      </c>
      <c r="D1131" s="88">
        <v>136.78</v>
      </c>
      <c r="E1131" s="88"/>
    </row>
    <row r="1132" spans="3:5">
      <c r="C1132" s="87">
        <v>45628</v>
      </c>
      <c r="D1132" s="88">
        <v>138.83000000000001</v>
      </c>
      <c r="E1132" s="88"/>
    </row>
    <row r="1133" spans="3:5">
      <c r="C1133" s="87">
        <v>45629</v>
      </c>
      <c r="D1133" s="88">
        <v>138.26</v>
      </c>
      <c r="E1133" s="88"/>
    </row>
    <row r="1134" spans="3:5">
      <c r="C1134" s="87">
        <v>45630</v>
      </c>
      <c r="D1134" s="88">
        <v>141.995</v>
      </c>
      <c r="E1134" s="88"/>
    </row>
    <row r="1135" spans="3:5">
      <c r="C1135" s="87">
        <v>45631</v>
      </c>
      <c r="D1135" s="88">
        <v>145.11000000000001</v>
      </c>
      <c r="E1135" s="88"/>
    </row>
    <row r="1136" spans="3:5">
      <c r="C1136" s="87">
        <v>45632</v>
      </c>
      <c r="D1136" s="88">
        <v>144.6</v>
      </c>
      <c r="E1136" s="88"/>
    </row>
    <row r="1137" spans="3:5">
      <c r="C1137" s="87">
        <v>45635</v>
      </c>
      <c r="D1137" s="88">
        <v>138.97</v>
      </c>
      <c r="E1137" s="88"/>
    </row>
    <row r="1138" spans="3:5">
      <c r="C1138" s="87">
        <v>45636</v>
      </c>
      <c r="D1138" s="88">
        <v>139.01</v>
      </c>
      <c r="E1138" s="88"/>
    </row>
    <row r="1139" spans="3:5">
      <c r="C1139" s="87">
        <v>45637</v>
      </c>
      <c r="D1139" s="88">
        <v>137.36000000000001</v>
      </c>
      <c r="E1139" s="88"/>
    </row>
    <row r="1140" spans="3:5">
      <c r="C1140" s="87">
        <v>45638</v>
      </c>
      <c r="D1140" s="88">
        <v>137.08000000000001</v>
      </c>
      <c r="E1140" s="88"/>
    </row>
    <row r="1141" spans="3:5">
      <c r="C1141" s="87">
        <v>45639</v>
      </c>
      <c r="D1141" s="88">
        <v>138.94</v>
      </c>
      <c r="E1141" s="88"/>
    </row>
    <row r="1142" spans="3:5">
      <c r="C1142" s="87">
        <v>45642</v>
      </c>
      <c r="D1142" s="88">
        <v>134.18</v>
      </c>
      <c r="E1142" s="88"/>
    </row>
    <row r="1143" spans="3:5">
      <c r="C1143" s="87">
        <v>45643</v>
      </c>
      <c r="D1143" s="88">
        <v>129.09</v>
      </c>
      <c r="E1143" s="88"/>
    </row>
    <row r="1144" spans="3:5">
      <c r="C1144" s="87">
        <v>45644</v>
      </c>
      <c r="D1144" s="88">
        <v>133.86000000000001</v>
      </c>
      <c r="E1144" s="88"/>
    </row>
    <row r="1145" spans="3:5">
      <c r="C1145" s="87">
        <v>45645</v>
      </c>
      <c r="D1145" s="88">
        <v>131.76</v>
      </c>
      <c r="E1145" s="88"/>
    </row>
    <row r="1146" spans="3:5">
      <c r="C1146" s="87">
        <v>45646</v>
      </c>
      <c r="D1146" s="88">
        <v>129.81</v>
      </c>
      <c r="E1146" s="88"/>
    </row>
    <row r="1147" spans="3:5">
      <c r="C1147" s="87">
        <v>45649</v>
      </c>
      <c r="D1147" s="88">
        <v>136.28</v>
      </c>
      <c r="E1147" s="88"/>
    </row>
    <row r="1148" spans="3:5">
      <c r="C1148" s="87">
        <v>45650</v>
      </c>
      <c r="D1148" s="88">
        <v>140</v>
      </c>
      <c r="E1148" s="88"/>
    </row>
    <row r="1149" spans="3:5">
      <c r="C1149" s="87">
        <v>45652</v>
      </c>
      <c r="D1149" s="88">
        <v>139.69999999999999</v>
      </c>
      <c r="E1149" s="88"/>
    </row>
    <row r="1150" spans="3:5">
      <c r="C1150" s="87">
        <v>45653</v>
      </c>
      <c r="D1150" s="88">
        <v>138.55000000000001</v>
      </c>
      <c r="E1150" s="88"/>
    </row>
    <row r="1151" spans="3:5">
      <c r="C1151" s="87">
        <v>45656</v>
      </c>
      <c r="D1151" s="88">
        <v>134.83000000000001</v>
      </c>
      <c r="E1151" s="88"/>
    </row>
    <row r="1152" spans="3:5">
      <c r="C1152" s="87">
        <v>45657</v>
      </c>
      <c r="D1152" s="88">
        <v>138.03</v>
      </c>
      <c r="E1152" s="88"/>
    </row>
    <row r="1153" spans="3:5">
      <c r="C1153" s="87">
        <v>45659</v>
      </c>
      <c r="D1153" s="88">
        <v>136</v>
      </c>
      <c r="E1153" s="88"/>
    </row>
    <row r="1154" spans="3:5">
      <c r="C1154" s="87">
        <v>45660</v>
      </c>
      <c r="D1154" s="88">
        <v>140.01</v>
      </c>
      <c r="E1154" s="88"/>
    </row>
    <row r="1155" spans="3:5">
      <c r="C1155" s="87">
        <v>45663</v>
      </c>
      <c r="D1155" s="88">
        <v>148.59</v>
      </c>
      <c r="E1155" s="88"/>
    </row>
    <row r="1156" spans="3:5">
      <c r="C1156" s="87">
        <v>45664</v>
      </c>
      <c r="D1156" s="88">
        <v>153.03</v>
      </c>
      <c r="E1156" s="88"/>
    </row>
    <row r="1157" spans="3:5">
      <c r="C1157" s="87">
        <v>45665</v>
      </c>
      <c r="D1157" s="88">
        <v>142.58000000000001</v>
      </c>
      <c r="E1157" s="88"/>
    </row>
    <row r="1158" spans="3:5">
      <c r="C1158" s="87">
        <v>45667</v>
      </c>
      <c r="D1158" s="88">
        <v>137.44999999999999</v>
      </c>
      <c r="E1158" s="88"/>
    </row>
    <row r="1159" spans="3:5">
      <c r="C1159" s="87">
        <v>45670</v>
      </c>
      <c r="D1159" s="88">
        <v>129.99</v>
      </c>
      <c r="E1159" s="88"/>
    </row>
    <row r="1160" spans="3:5">
      <c r="C1160" s="87">
        <v>45671</v>
      </c>
      <c r="D1160" s="88">
        <v>136.05000000000001</v>
      </c>
      <c r="E1160" s="88"/>
    </row>
    <row r="1161" spans="3:5">
      <c r="C1161" s="87">
        <v>45672</v>
      </c>
      <c r="D1161" s="88">
        <v>133.65</v>
      </c>
      <c r="E1161" s="88"/>
    </row>
    <row r="1162" spans="3:5">
      <c r="C1162" s="87">
        <v>45673</v>
      </c>
      <c r="D1162" s="88">
        <v>138.63999999999999</v>
      </c>
      <c r="E1162" s="88"/>
    </row>
    <row r="1163" spans="3:5">
      <c r="C1163" s="87">
        <v>45674</v>
      </c>
      <c r="D1163" s="88">
        <v>136.69</v>
      </c>
      <c r="E1163" s="88"/>
    </row>
    <row r="1164" spans="3:5">
      <c r="C1164" s="87">
        <v>45678</v>
      </c>
      <c r="D1164" s="88">
        <v>139.16</v>
      </c>
      <c r="E1164" s="88"/>
    </row>
    <row r="1165" spans="3:5">
      <c r="C1165" s="87">
        <v>45679</v>
      </c>
      <c r="D1165" s="88">
        <v>144.66</v>
      </c>
      <c r="E1165" s="88"/>
    </row>
    <row r="1166" spans="3:5">
      <c r="C1166" s="87">
        <v>45680</v>
      </c>
      <c r="D1166" s="88">
        <v>145.05000000000001</v>
      </c>
      <c r="E1166" s="88"/>
    </row>
    <row r="1167" spans="3:5">
      <c r="C1167" s="87">
        <v>45681</v>
      </c>
      <c r="D1167" s="88">
        <v>148.37</v>
      </c>
      <c r="E1167" s="88"/>
    </row>
    <row r="1168" spans="3:5">
      <c r="C1168" s="87">
        <v>45684</v>
      </c>
      <c r="D1168" s="88">
        <v>124.8</v>
      </c>
      <c r="E1168" s="88"/>
    </row>
    <row r="1169" spans="3:5">
      <c r="C1169" s="87">
        <v>45685</v>
      </c>
      <c r="D1169" s="88">
        <v>121.81</v>
      </c>
      <c r="E1169" s="88"/>
    </row>
    <row r="1170" spans="3:5">
      <c r="C1170" s="87">
        <v>45686</v>
      </c>
      <c r="D1170" s="88">
        <v>126.5</v>
      </c>
      <c r="E1170" s="88"/>
    </row>
    <row r="1171" spans="3:5">
      <c r="C1171" s="87">
        <v>45687</v>
      </c>
      <c r="D1171" s="88">
        <v>123.1</v>
      </c>
      <c r="E1171" s="88"/>
    </row>
    <row r="1172" spans="3:5">
      <c r="C1172" s="87">
        <v>45688</v>
      </c>
      <c r="D1172" s="88">
        <v>123.78</v>
      </c>
      <c r="E1172" s="88"/>
    </row>
    <row r="1173" spans="3:5">
      <c r="C1173" s="87">
        <v>45691</v>
      </c>
      <c r="D1173" s="88">
        <v>114.75</v>
      </c>
      <c r="E1173" s="88"/>
    </row>
    <row r="1174" spans="3:5">
      <c r="C1174" s="87">
        <v>45692</v>
      </c>
      <c r="D1174" s="88">
        <v>116.96</v>
      </c>
      <c r="E1174" s="88"/>
    </row>
    <row r="1175" spans="3:5">
      <c r="C1175" s="87">
        <v>45693</v>
      </c>
      <c r="D1175" s="88">
        <v>121.76</v>
      </c>
      <c r="E1175" s="88"/>
    </row>
    <row r="1176" spans="3:5">
      <c r="C1176" s="87">
        <v>45694</v>
      </c>
      <c r="D1176" s="88">
        <v>127.42</v>
      </c>
      <c r="E1176" s="88"/>
    </row>
    <row r="1177" spans="3:5">
      <c r="C1177" s="87">
        <v>45695</v>
      </c>
      <c r="D1177" s="88">
        <v>129.22</v>
      </c>
      <c r="E1177" s="88"/>
    </row>
    <row r="1178" spans="3:5">
      <c r="C1178" s="87">
        <v>45698</v>
      </c>
      <c r="D1178" s="88">
        <v>130.09</v>
      </c>
      <c r="E1178" s="88"/>
    </row>
    <row r="1179" spans="3:5">
      <c r="C1179" s="87">
        <v>45699</v>
      </c>
      <c r="D1179" s="88">
        <v>132.58000000000001</v>
      </c>
      <c r="E1179" s="88"/>
    </row>
    <row r="1180" spans="3:5">
      <c r="C1180" s="87">
        <v>45700</v>
      </c>
      <c r="D1180" s="88">
        <v>130.02000000000001</v>
      </c>
      <c r="E1180" s="88"/>
    </row>
    <row r="1181" spans="3:5">
      <c r="C1181" s="87">
        <v>45701</v>
      </c>
      <c r="D1181" s="88">
        <v>131.55500000000001</v>
      </c>
      <c r="E1181" s="88"/>
    </row>
    <row r="1182" spans="3:5">
      <c r="C1182" s="87">
        <v>45702</v>
      </c>
      <c r="D1182" s="88">
        <v>136.47999999999999</v>
      </c>
      <c r="E1182" s="88"/>
    </row>
    <row r="1183" spans="3:5">
      <c r="C1183" s="87">
        <v>45706</v>
      </c>
      <c r="D1183" s="88">
        <v>141.27000000000001</v>
      </c>
      <c r="E1183" s="88"/>
    </row>
    <row r="1184" spans="3:5">
      <c r="C1184" s="87">
        <v>45707</v>
      </c>
      <c r="D1184" s="88">
        <v>139.51</v>
      </c>
      <c r="E1184" s="88"/>
    </row>
    <row r="1185" spans="3:5">
      <c r="C1185" s="87">
        <v>45708</v>
      </c>
      <c r="D1185" s="88">
        <v>140.03</v>
      </c>
      <c r="E1185" s="88"/>
    </row>
    <row r="1186" spans="3:5">
      <c r="C1186" s="87">
        <v>45709</v>
      </c>
      <c r="D1186" s="88">
        <v>140.04</v>
      </c>
      <c r="E1186" s="88"/>
    </row>
    <row r="1187" spans="3:5">
      <c r="C1187" s="87">
        <v>45712</v>
      </c>
      <c r="D1187" s="88">
        <v>136.56</v>
      </c>
      <c r="E1187" s="88"/>
    </row>
    <row r="1188" spans="3:5">
      <c r="C1188" s="87">
        <v>45713</v>
      </c>
      <c r="D1188" s="88">
        <v>129.97999999999999</v>
      </c>
      <c r="E1188" s="88"/>
    </row>
    <row r="1189" spans="3:5">
      <c r="C1189" s="87">
        <v>45714</v>
      </c>
      <c r="D1189" s="88">
        <v>129.98500000000001</v>
      </c>
      <c r="E1189" s="88"/>
    </row>
    <row r="1190" spans="3:5">
      <c r="C1190" s="87">
        <v>45715</v>
      </c>
      <c r="D1190" s="88">
        <v>135</v>
      </c>
      <c r="E1190" s="88"/>
    </row>
    <row r="1191" spans="3:5">
      <c r="C1191" s="87">
        <v>45716</v>
      </c>
      <c r="D1191" s="88">
        <v>118.02</v>
      </c>
      <c r="E1191" s="88"/>
    </row>
    <row r="1192" spans="3:5">
      <c r="C1192" s="87">
        <v>45719</v>
      </c>
      <c r="D1192" s="88">
        <v>123.51</v>
      </c>
      <c r="E1192" s="88"/>
    </row>
    <row r="1193" spans="3:5">
      <c r="C1193" s="87">
        <v>45720</v>
      </c>
      <c r="D1193" s="88">
        <v>110.645</v>
      </c>
      <c r="E1193" s="88"/>
    </row>
    <row r="1194" spans="3:5">
      <c r="C1194" s="87">
        <v>45721</v>
      </c>
      <c r="D1194" s="88">
        <v>117.58</v>
      </c>
      <c r="E1194" s="88"/>
    </row>
    <row r="1195" spans="3:5">
      <c r="C1195" s="87">
        <v>45722</v>
      </c>
      <c r="D1195" s="88">
        <v>113.53</v>
      </c>
      <c r="E1195" s="88"/>
    </row>
    <row r="1196" spans="3:5">
      <c r="C1196" s="87">
        <v>45723</v>
      </c>
      <c r="D1196" s="88">
        <v>111.25</v>
      </c>
      <c r="E1196" s="88"/>
    </row>
    <row r="1197" spans="3:5">
      <c r="C1197" s="87">
        <v>45726</v>
      </c>
      <c r="D1197" s="88">
        <v>109.9</v>
      </c>
      <c r="E1197" s="88"/>
    </row>
    <row r="1198" spans="3:5">
      <c r="C1198" s="87">
        <v>45727</v>
      </c>
      <c r="D1198" s="88">
        <v>106.99</v>
      </c>
      <c r="E1198" s="88"/>
    </row>
    <row r="1199" spans="3:5">
      <c r="C1199" s="87">
        <v>45728</v>
      </c>
      <c r="D1199" s="88">
        <v>114.12</v>
      </c>
      <c r="E1199" s="88"/>
    </row>
    <row r="1200" spans="3:5">
      <c r="C1200" s="87">
        <v>45729</v>
      </c>
      <c r="D1200" s="88">
        <v>117.03</v>
      </c>
      <c r="E1200" s="88"/>
    </row>
    <row r="1201" spans="3:5">
      <c r="C1201" s="87">
        <v>45730</v>
      </c>
      <c r="D1201" s="88">
        <v>118.61</v>
      </c>
      <c r="E1201" s="88"/>
    </row>
    <row r="1202" spans="3:5">
      <c r="C1202" s="87">
        <v>45733</v>
      </c>
      <c r="D1202" s="88">
        <v>122.74</v>
      </c>
      <c r="E1202" s="88"/>
    </row>
    <row r="1203" spans="3:5">
      <c r="C1203" s="87">
        <v>45734</v>
      </c>
      <c r="D1203" s="88">
        <v>118</v>
      </c>
      <c r="E1203" s="88"/>
    </row>
    <row r="1204" spans="3:5">
      <c r="C1204" s="87">
        <v>45735</v>
      </c>
      <c r="D1204" s="88">
        <v>117.27</v>
      </c>
      <c r="E1204" s="88"/>
    </row>
    <row r="1205" spans="3:5">
      <c r="C1205" s="87">
        <v>45736</v>
      </c>
      <c r="D1205" s="88">
        <v>116.55</v>
      </c>
      <c r="E1205" s="88"/>
    </row>
    <row r="1206" spans="3:5">
      <c r="C1206" s="87">
        <v>45737</v>
      </c>
      <c r="D1206" s="88">
        <v>116.94</v>
      </c>
      <c r="E1206" s="88"/>
    </row>
    <row r="1207" spans="3:5">
      <c r="C1207" s="87">
        <v>45740</v>
      </c>
      <c r="D1207" s="88">
        <v>119.88</v>
      </c>
      <c r="E1207" s="88"/>
    </row>
    <row r="1208" spans="3:5">
      <c r="C1208" s="87">
        <v>45741</v>
      </c>
      <c r="D1208" s="88">
        <v>120.545</v>
      </c>
      <c r="E1208" s="88"/>
    </row>
    <row r="1209" spans="3:5">
      <c r="C1209" s="87">
        <v>45742</v>
      </c>
      <c r="D1209" s="88">
        <v>118.73</v>
      </c>
      <c r="E1209" s="88"/>
    </row>
    <row r="1210" spans="3:5">
      <c r="C1210" s="87">
        <v>45743</v>
      </c>
      <c r="D1210" s="88">
        <v>111.35</v>
      </c>
      <c r="E1210" s="88"/>
    </row>
    <row r="1211" spans="3:5">
      <c r="C1211" s="87">
        <v>45744</v>
      </c>
      <c r="D1211" s="88">
        <v>111.485</v>
      </c>
      <c r="E1211" s="88"/>
    </row>
    <row r="1212" spans="3:5">
      <c r="C1212" s="87">
        <v>45747</v>
      </c>
      <c r="D1212" s="88">
        <v>105.13</v>
      </c>
      <c r="E1212" s="88"/>
    </row>
    <row r="1213" spans="3:5">
      <c r="C1213" s="87">
        <v>45748</v>
      </c>
      <c r="D1213" s="88">
        <v>108.515</v>
      </c>
      <c r="E1213" s="88"/>
    </row>
    <row r="1214" spans="3:5">
      <c r="C1214" s="87">
        <v>45749</v>
      </c>
      <c r="D1214" s="88">
        <v>107.29</v>
      </c>
      <c r="E1214" s="88"/>
    </row>
    <row r="1215" spans="3:5">
      <c r="C1215" s="87">
        <v>45750</v>
      </c>
      <c r="D1215" s="88">
        <v>103.51</v>
      </c>
      <c r="E1215" s="88"/>
    </row>
    <row r="1216" spans="3:5">
      <c r="C1216" s="87">
        <v>45751</v>
      </c>
      <c r="D1216" s="88">
        <v>98.893000000000001</v>
      </c>
      <c r="E1216" s="88"/>
    </row>
    <row r="1217" spans="3:5">
      <c r="C1217" s="87">
        <v>45754</v>
      </c>
      <c r="D1217" s="88">
        <v>87.46</v>
      </c>
      <c r="E1217" s="88"/>
    </row>
    <row r="1218" spans="3:5">
      <c r="C1218" s="87">
        <v>45755</v>
      </c>
      <c r="D1218" s="88">
        <v>103.80500000000001</v>
      </c>
      <c r="E1218" s="88"/>
    </row>
    <row r="1219" spans="3:5">
      <c r="C1219" s="87">
        <v>45756</v>
      </c>
      <c r="D1219" s="88">
        <v>98.89</v>
      </c>
      <c r="E1219" s="88"/>
    </row>
    <row r="1220" spans="3:5">
      <c r="C1220" s="87">
        <v>45757</v>
      </c>
      <c r="D1220" s="88">
        <v>109.37</v>
      </c>
      <c r="E1220" s="88"/>
    </row>
    <row r="1221" spans="3:5">
      <c r="C1221" s="87">
        <v>45758</v>
      </c>
      <c r="D1221" s="88">
        <v>108.5</v>
      </c>
      <c r="E1221" s="88"/>
    </row>
    <row r="1222" spans="3:5">
      <c r="C1222" s="87">
        <v>45761</v>
      </c>
      <c r="D1222" s="88">
        <v>114.11</v>
      </c>
      <c r="E1222" s="88"/>
    </row>
    <row r="1223" spans="3:5">
      <c r="C1223" s="87">
        <v>45762</v>
      </c>
      <c r="D1223" s="88">
        <v>110.97</v>
      </c>
      <c r="E1223" s="88"/>
    </row>
    <row r="1224" spans="3:5">
      <c r="C1224" s="87">
        <v>45763</v>
      </c>
      <c r="D1224" s="88">
        <v>104.55</v>
      </c>
      <c r="E1224" s="88"/>
    </row>
    <row r="1225" spans="3:5">
      <c r="C1225" s="87">
        <v>45764</v>
      </c>
      <c r="D1225" s="88">
        <v>104.45</v>
      </c>
      <c r="E1225" s="88"/>
    </row>
    <row r="1226" spans="3:5">
      <c r="C1226" s="87">
        <v>45768</v>
      </c>
      <c r="D1226" s="88">
        <v>98.77</v>
      </c>
      <c r="E1226" s="88"/>
    </row>
    <row r="1227" spans="3:5">
      <c r="C1227" s="87">
        <v>45769</v>
      </c>
      <c r="D1227" s="88">
        <v>98.78</v>
      </c>
      <c r="E1227" s="88"/>
    </row>
    <row r="1228" spans="3:5">
      <c r="C1228" s="87">
        <v>45770</v>
      </c>
      <c r="D1228" s="88">
        <v>104.52</v>
      </c>
      <c r="E1228" s="88"/>
    </row>
    <row r="1229" spans="3:5">
      <c r="C1229" s="87">
        <v>45771</v>
      </c>
      <c r="D1229" s="88">
        <v>103.47499999999999</v>
      </c>
      <c r="E1229" s="88"/>
    </row>
    <row r="1230" spans="3:5">
      <c r="C1230" s="87">
        <v>45772</v>
      </c>
      <c r="D1230" s="88">
        <v>106.85</v>
      </c>
      <c r="E1230" s="88"/>
    </row>
    <row r="1231" spans="3:5">
      <c r="C1231" s="87">
        <v>45775</v>
      </c>
      <c r="D1231" s="88">
        <v>109.69</v>
      </c>
      <c r="E1231" s="88"/>
    </row>
    <row r="1232" spans="3:5">
      <c r="C1232" s="87">
        <v>45776</v>
      </c>
      <c r="D1232" s="88">
        <v>107.67</v>
      </c>
      <c r="E1232" s="88"/>
    </row>
    <row r="1233" spans="3:5">
      <c r="C1233" s="87">
        <v>45777</v>
      </c>
      <c r="D1233" s="88">
        <v>104.47</v>
      </c>
      <c r="E1233" s="88"/>
    </row>
    <row r="1234" spans="3:5">
      <c r="C1234" s="87">
        <v>45778</v>
      </c>
      <c r="D1234" s="88">
        <v>113.08</v>
      </c>
      <c r="E1234" s="88"/>
    </row>
    <row r="1235" spans="3:5">
      <c r="C1235" s="87">
        <v>45779</v>
      </c>
      <c r="D1235" s="88">
        <v>114.18</v>
      </c>
      <c r="E1235" s="88"/>
    </row>
    <row r="1236" spans="3:5">
      <c r="C1236" s="87">
        <v>45782</v>
      </c>
      <c r="D1236" s="88">
        <v>112.905</v>
      </c>
      <c r="E1236" s="88"/>
    </row>
    <row r="1237" spans="3:5">
      <c r="C1237" s="87">
        <v>45783</v>
      </c>
      <c r="D1237" s="88">
        <v>111.48</v>
      </c>
      <c r="E1237" s="88"/>
    </row>
    <row r="1238" spans="3:5">
      <c r="C1238" s="87">
        <v>45784</v>
      </c>
      <c r="D1238" s="88">
        <v>113.045</v>
      </c>
      <c r="E1238" s="88"/>
    </row>
    <row r="1239" spans="3:5">
      <c r="C1239" s="87">
        <v>45785</v>
      </c>
      <c r="D1239" s="88">
        <v>118.25</v>
      </c>
      <c r="E1239" s="88"/>
    </row>
    <row r="1240" spans="3:5">
      <c r="C1240" s="87">
        <v>45786</v>
      </c>
      <c r="D1240" s="88">
        <v>117.35</v>
      </c>
      <c r="E1240" s="88"/>
    </row>
    <row r="1241" spans="3:5">
      <c r="C1241" s="87">
        <v>45789</v>
      </c>
      <c r="D1241" s="88">
        <v>121.97</v>
      </c>
      <c r="E1241" s="88"/>
    </row>
    <row r="1242" spans="3:5">
      <c r="C1242" s="87">
        <v>45790</v>
      </c>
      <c r="D1242" s="88">
        <v>124.98</v>
      </c>
      <c r="E1242" s="88"/>
    </row>
    <row r="1243" spans="3:5">
      <c r="C1243" s="87">
        <v>45791</v>
      </c>
      <c r="D1243" s="88">
        <v>133.19499999999999</v>
      </c>
      <c r="E1243" s="88"/>
    </row>
    <row r="1244" spans="3:5">
      <c r="C1244" s="87">
        <v>45792</v>
      </c>
      <c r="D1244" s="88">
        <v>134.29499999999999</v>
      </c>
      <c r="E1244" s="88"/>
    </row>
    <row r="1245" spans="3:5">
      <c r="C1245" s="87">
        <v>45793</v>
      </c>
      <c r="D1245" s="88">
        <v>136.22</v>
      </c>
      <c r="E1245" s="88"/>
    </row>
    <row r="1246" spans="3:5">
      <c r="C1246" s="87">
        <v>45796</v>
      </c>
      <c r="D1246" s="88">
        <v>132.38999999999999</v>
      </c>
      <c r="E1246" s="88"/>
    </row>
    <row r="1247" spans="3:5">
      <c r="C1247" s="87">
        <v>45797</v>
      </c>
      <c r="D1247" s="88">
        <v>134.29</v>
      </c>
      <c r="E1247" s="88"/>
    </row>
    <row r="1248" spans="3:5">
      <c r="C1248" s="87">
        <v>45798</v>
      </c>
      <c r="D1248" s="88">
        <v>133.06</v>
      </c>
      <c r="E1248" s="88"/>
    </row>
    <row r="1249" spans="3:5">
      <c r="C1249" s="87">
        <v>45799</v>
      </c>
      <c r="D1249" s="88">
        <v>132.22999999999999</v>
      </c>
      <c r="E1249" s="88"/>
    </row>
    <row r="1250" spans="3:5">
      <c r="C1250" s="87">
        <v>45800</v>
      </c>
      <c r="D1250" s="88">
        <v>130</v>
      </c>
      <c r="E1250" s="88"/>
    </row>
    <row r="1251" spans="3:5">
      <c r="C1251" s="87">
        <v>45804</v>
      </c>
      <c r="D1251" s="88">
        <v>134.15</v>
      </c>
      <c r="E1251" s="88"/>
    </row>
    <row r="1252" spans="3:5">
      <c r="C1252" s="87">
        <v>45805</v>
      </c>
      <c r="D1252" s="88">
        <v>136.02500000000001</v>
      </c>
      <c r="E1252" s="88"/>
    </row>
    <row r="1253" spans="3:5">
      <c r="C1253" s="87">
        <v>45806</v>
      </c>
      <c r="D1253" s="88">
        <v>142.245</v>
      </c>
      <c r="E1253" s="88"/>
    </row>
    <row r="1254" spans="3:5">
      <c r="C1254" s="87">
        <v>45807</v>
      </c>
      <c r="D1254" s="88">
        <v>138.715</v>
      </c>
      <c r="E1254" s="88"/>
    </row>
    <row r="1255" spans="3:5">
      <c r="C1255" s="87">
        <v>45810</v>
      </c>
      <c r="D1255" s="88">
        <v>135.49</v>
      </c>
      <c r="E1255" s="88"/>
    </row>
    <row r="1256" spans="3:5">
      <c r="C1256" s="87">
        <v>45811</v>
      </c>
      <c r="D1256" s="88">
        <v>138.78</v>
      </c>
      <c r="E1256" s="88"/>
    </row>
    <row r="1257" spans="3:5">
      <c r="C1257" s="87">
        <v>45812</v>
      </c>
      <c r="D1257" s="88">
        <v>142.19</v>
      </c>
      <c r="E1257" s="88"/>
    </row>
    <row r="1258" spans="3:5">
      <c r="C1258" s="87">
        <v>45813</v>
      </c>
      <c r="D1258" s="88">
        <v>142.16999999999999</v>
      </c>
      <c r="E1258" s="88"/>
    </row>
    <row r="1259" spans="3:5">
      <c r="C1259" s="87">
        <v>45814</v>
      </c>
      <c r="D1259" s="88">
        <v>142.51</v>
      </c>
      <c r="E1259" s="88"/>
    </row>
    <row r="1260" spans="3:5">
      <c r="C1260" s="87"/>
      <c r="D1260" s="88"/>
      <c r="E1260" s="88"/>
    </row>
    <row r="1261" spans="3:5">
      <c r="C1261" s="87"/>
      <c r="D1261" s="88"/>
      <c r="E1261" s="88"/>
    </row>
    <row r="1262" spans="3:5">
      <c r="C1262" s="87"/>
      <c r="D1262" s="88"/>
      <c r="E1262" s="88"/>
    </row>
    <row r="1263" spans="3:5">
      <c r="C1263" s="87"/>
      <c r="D1263" s="88"/>
      <c r="E1263" s="88"/>
    </row>
    <row r="1264" spans="3:5">
      <c r="C1264" s="87"/>
      <c r="D1264" s="88"/>
      <c r="E1264" s="88"/>
    </row>
    <row r="1265" spans="3:5">
      <c r="C1265" s="87"/>
      <c r="D1265" s="88"/>
      <c r="E1265" s="88"/>
    </row>
    <row r="1266" spans="3:5">
      <c r="C1266" s="87"/>
      <c r="D1266" s="88"/>
      <c r="E1266" s="88"/>
    </row>
    <row r="1267" spans="3:5">
      <c r="C1267" s="87"/>
      <c r="D1267" s="88"/>
      <c r="E1267" s="88"/>
    </row>
    <row r="1268" spans="3:5">
      <c r="C1268" s="87"/>
      <c r="D1268" s="88"/>
      <c r="E1268" s="88"/>
    </row>
    <row r="1269" spans="3:5">
      <c r="C1269" s="87"/>
      <c r="D1269" s="88"/>
      <c r="E1269" s="88"/>
    </row>
    <row r="1270" spans="3:5">
      <c r="C1270" s="87"/>
      <c r="D1270" s="88"/>
      <c r="E1270" s="88"/>
    </row>
    <row r="1271" spans="3:5">
      <c r="C1271" s="87"/>
      <c r="D1271" s="88"/>
      <c r="E1271" s="88"/>
    </row>
    <row r="1272" spans="3:5">
      <c r="C1272" s="87"/>
      <c r="D1272" s="88"/>
      <c r="E1272" s="88"/>
    </row>
    <row r="1273" spans="3:5">
      <c r="C1273" s="87"/>
      <c r="D1273" s="88"/>
      <c r="E1273" s="88"/>
    </row>
    <row r="1274" spans="3:5">
      <c r="C1274" s="87"/>
      <c r="D1274" s="88"/>
      <c r="E1274" s="88"/>
    </row>
    <row r="1275" spans="3:5">
      <c r="C1275" s="87"/>
      <c r="D1275" s="88"/>
      <c r="E1275" s="88"/>
    </row>
    <row r="1276" spans="3:5">
      <c r="C1276" s="87"/>
      <c r="D1276" s="88"/>
      <c r="E1276" s="88"/>
    </row>
    <row r="1277" spans="3:5">
      <c r="C1277" s="87"/>
      <c r="D1277" s="88"/>
      <c r="E1277" s="88"/>
    </row>
    <row r="1278" spans="3:5">
      <c r="C1278" s="87"/>
      <c r="D1278" s="88"/>
      <c r="E1278" s="88"/>
    </row>
    <row r="1279" spans="3:5">
      <c r="C1279" s="87"/>
      <c r="D1279" s="88"/>
      <c r="E1279" s="88"/>
    </row>
    <row r="1280" spans="3:5">
      <c r="C1280" s="87"/>
      <c r="D1280" s="88"/>
      <c r="E1280" s="88"/>
    </row>
    <row r="1281" spans="3:5">
      <c r="C1281" s="87"/>
      <c r="D1281" s="88"/>
      <c r="E1281" s="88"/>
    </row>
    <row r="1282" spans="3:5">
      <c r="C1282" s="87"/>
      <c r="D1282" s="88"/>
      <c r="E1282" s="88"/>
    </row>
    <row r="1283" spans="3:5">
      <c r="C1283" s="87"/>
      <c r="D1283" s="88"/>
      <c r="E1283" s="88"/>
    </row>
    <row r="1284" spans="3:5">
      <c r="C1284" s="87"/>
      <c r="D1284" s="88"/>
      <c r="E1284" s="88"/>
    </row>
    <row r="1285" spans="3:5">
      <c r="C1285" s="87"/>
      <c r="D1285" s="88"/>
      <c r="E1285" s="88"/>
    </row>
    <row r="1286" spans="3:5">
      <c r="C1286" s="87"/>
      <c r="D1286" s="88"/>
      <c r="E1286" s="88"/>
    </row>
    <row r="1287" spans="3:5">
      <c r="C1287" s="87"/>
      <c r="D1287" s="88"/>
      <c r="E1287" s="88"/>
    </row>
    <row r="1288" spans="3:5">
      <c r="C1288" s="87"/>
      <c r="D1288" s="88"/>
      <c r="E1288" s="88"/>
    </row>
    <row r="1289" spans="3:5">
      <c r="C1289" s="87"/>
      <c r="D1289" s="88"/>
      <c r="E1289" s="88"/>
    </row>
    <row r="1290" spans="3:5">
      <c r="C1290" s="87"/>
      <c r="D1290" s="88"/>
      <c r="E1290" s="88"/>
    </row>
    <row r="1291" spans="3:5">
      <c r="C1291" s="87"/>
      <c r="D1291" s="88"/>
      <c r="E1291" s="88"/>
    </row>
    <row r="1292" spans="3:5">
      <c r="C1292" s="87"/>
      <c r="D1292" s="88"/>
      <c r="E1292" s="88"/>
    </row>
    <row r="1293" spans="3:5">
      <c r="C1293" s="87"/>
      <c r="D1293" s="88"/>
      <c r="E1293" s="88"/>
    </row>
    <row r="1294" spans="3:5">
      <c r="C1294" s="87"/>
      <c r="D1294" s="88"/>
      <c r="E1294" s="88"/>
    </row>
    <row r="1295" spans="3:5">
      <c r="C1295" s="87"/>
      <c r="D1295" s="88"/>
      <c r="E1295" s="88"/>
    </row>
    <row r="1296" spans="3:5">
      <c r="C1296" s="87"/>
      <c r="D1296" s="88"/>
      <c r="E1296" s="88"/>
    </row>
    <row r="1297" spans="3:5">
      <c r="C1297" s="87"/>
      <c r="D1297" s="88"/>
      <c r="E1297" s="88"/>
    </row>
    <row r="1298" spans="3:5">
      <c r="C1298" s="87"/>
      <c r="D1298" s="88"/>
      <c r="E1298" s="88"/>
    </row>
    <row r="1299" spans="3:5">
      <c r="C1299" s="87"/>
      <c r="D1299" s="88"/>
      <c r="E1299" s="88"/>
    </row>
    <row r="1300" spans="3:5">
      <c r="C1300" s="87"/>
      <c r="D1300" s="88"/>
      <c r="E1300" s="88"/>
    </row>
    <row r="1301" spans="3:5">
      <c r="C1301" s="87"/>
      <c r="D1301" s="88"/>
      <c r="E1301" s="88"/>
    </row>
    <row r="1302" spans="3:5">
      <c r="C1302" s="87"/>
      <c r="D1302" s="88"/>
      <c r="E1302" s="88"/>
    </row>
    <row r="1303" spans="3:5">
      <c r="C1303" s="87"/>
      <c r="D1303" s="88"/>
      <c r="E1303" s="88"/>
    </row>
    <row r="1304" spans="3:5">
      <c r="C1304" s="87"/>
      <c r="D1304" s="88"/>
      <c r="E1304" s="88"/>
    </row>
    <row r="1305" spans="3:5">
      <c r="C1305" s="87"/>
      <c r="D1305" s="88"/>
      <c r="E1305" s="88"/>
    </row>
    <row r="1306" spans="3:5">
      <c r="C1306" s="87"/>
      <c r="D1306" s="88"/>
      <c r="E1306" s="88"/>
    </row>
    <row r="1307" spans="3:5">
      <c r="C1307" s="87"/>
      <c r="D1307" s="88"/>
      <c r="E1307" s="88"/>
    </row>
    <row r="1308" spans="3:5">
      <c r="C1308" s="87"/>
      <c r="D1308" s="88"/>
      <c r="E1308" s="88"/>
    </row>
    <row r="1309" spans="3:5">
      <c r="C1309" s="87"/>
      <c r="D1309" s="88"/>
      <c r="E1309" s="88"/>
    </row>
    <row r="1310" spans="3:5">
      <c r="C1310" s="87"/>
      <c r="D1310" s="88"/>
      <c r="E1310" s="88"/>
    </row>
    <row r="1311" spans="3:5">
      <c r="C1311" s="87"/>
      <c r="D1311" s="88"/>
      <c r="E1311" s="88"/>
    </row>
    <row r="1312" spans="3:5">
      <c r="C1312" s="87"/>
      <c r="D1312" s="88"/>
      <c r="E1312" s="88"/>
    </row>
    <row r="1313" spans="3:5">
      <c r="C1313" s="87"/>
      <c r="D1313" s="88"/>
      <c r="E1313" s="88"/>
    </row>
    <row r="1314" spans="3:5">
      <c r="C1314" s="87"/>
      <c r="D1314" s="88"/>
      <c r="E1314" s="88"/>
    </row>
    <row r="1315" spans="3:5">
      <c r="C1315" s="87"/>
      <c r="D1315" s="88"/>
      <c r="E1315" s="88"/>
    </row>
    <row r="1316" spans="3:5">
      <c r="C1316" s="87"/>
      <c r="D1316" s="88"/>
      <c r="E1316" s="88"/>
    </row>
    <row r="1317" spans="3:5">
      <c r="C1317" s="87"/>
      <c r="D1317" s="88"/>
      <c r="E1317" s="88"/>
    </row>
    <row r="1318" spans="3:5">
      <c r="C1318" s="87"/>
      <c r="D1318" s="88"/>
      <c r="E1318" s="88"/>
    </row>
    <row r="1319" spans="3:5">
      <c r="C1319" s="87"/>
      <c r="D1319" s="88"/>
      <c r="E1319" s="88"/>
    </row>
    <row r="1320" spans="3:5">
      <c r="C1320" s="87"/>
      <c r="D1320" s="88"/>
      <c r="E1320" s="88"/>
    </row>
    <row r="1321" spans="3:5">
      <c r="C1321" s="87"/>
      <c r="D1321" s="88"/>
      <c r="E1321" s="88"/>
    </row>
    <row r="1322" spans="3:5">
      <c r="C1322" s="87"/>
      <c r="D1322" s="88"/>
      <c r="E1322" s="88"/>
    </row>
    <row r="1323" spans="3:5">
      <c r="C1323" s="87"/>
      <c r="D1323" s="88"/>
      <c r="E1323" s="88"/>
    </row>
    <row r="1324" spans="3:5">
      <c r="C1324" s="87"/>
      <c r="D1324" s="88"/>
      <c r="E1324" s="88"/>
    </row>
    <row r="1325" spans="3:5">
      <c r="C1325" s="87"/>
      <c r="D1325" s="88"/>
      <c r="E1325" s="88"/>
    </row>
    <row r="1326" spans="3:5">
      <c r="C1326" s="87"/>
      <c r="D1326" s="88"/>
      <c r="E1326" s="88"/>
    </row>
    <row r="1327" spans="3:5">
      <c r="C1327" s="87"/>
      <c r="D1327" s="88"/>
      <c r="E1327" s="88"/>
    </row>
    <row r="1328" spans="3:5">
      <c r="C1328" s="87"/>
      <c r="D1328" s="88"/>
      <c r="E1328" s="88"/>
    </row>
    <row r="1329" spans="3:5">
      <c r="C1329" s="87"/>
      <c r="D1329" s="88"/>
      <c r="E1329" s="88"/>
    </row>
    <row r="1330" spans="3:5">
      <c r="C1330" s="87"/>
      <c r="D1330" s="88"/>
      <c r="E1330" s="88"/>
    </row>
    <row r="1331" spans="3:5">
      <c r="C1331" s="87"/>
      <c r="D1331" s="88"/>
      <c r="E1331" s="88"/>
    </row>
    <row r="1332" spans="3:5">
      <c r="C1332" s="87"/>
      <c r="D1332" s="88"/>
      <c r="E1332" s="88"/>
    </row>
    <row r="1333" spans="3:5">
      <c r="C1333" s="87"/>
      <c r="D1333" s="88"/>
      <c r="E1333" s="88"/>
    </row>
    <row r="1334" spans="3:5">
      <c r="C1334" s="87"/>
      <c r="D1334" s="88"/>
      <c r="E1334" s="88"/>
    </row>
    <row r="1335" spans="3:5">
      <c r="C1335" s="87"/>
      <c r="D1335" s="88"/>
      <c r="E1335" s="88"/>
    </row>
    <row r="1336" spans="3:5">
      <c r="C1336" s="87"/>
      <c r="D1336" s="88"/>
      <c r="E1336" s="88"/>
    </row>
    <row r="1337" spans="3:5">
      <c r="C1337" s="87"/>
      <c r="D1337" s="88"/>
      <c r="E1337" s="88"/>
    </row>
    <row r="1338" spans="3:5">
      <c r="C1338" s="87"/>
      <c r="D1338" s="88"/>
      <c r="E1338" s="88"/>
    </row>
    <row r="1339" spans="3:5">
      <c r="C1339" s="87"/>
      <c r="D1339" s="88"/>
      <c r="E1339" s="88"/>
    </row>
    <row r="1340" spans="3:5">
      <c r="C1340" s="87"/>
      <c r="D1340" s="88"/>
      <c r="E1340" s="88"/>
    </row>
    <row r="1341" spans="3:5">
      <c r="C1341" s="87"/>
      <c r="D1341" s="88"/>
      <c r="E1341" s="88"/>
    </row>
    <row r="1342" spans="3:5">
      <c r="C1342" s="87"/>
      <c r="D1342" s="88"/>
      <c r="E1342" s="88"/>
    </row>
    <row r="1343" spans="3:5">
      <c r="C1343" s="87"/>
      <c r="D1343" s="88"/>
      <c r="E1343" s="88"/>
    </row>
    <row r="1344" spans="3:5">
      <c r="C1344" s="87"/>
      <c r="D1344" s="88"/>
      <c r="E1344" s="88"/>
    </row>
    <row r="1345" spans="3:5">
      <c r="C1345" s="87"/>
      <c r="D1345" s="88"/>
      <c r="E1345" s="88"/>
    </row>
    <row r="1346" spans="3:5">
      <c r="C1346" s="87"/>
      <c r="D1346" s="88"/>
      <c r="E1346" s="88"/>
    </row>
    <row r="1347" spans="3:5">
      <c r="C1347" s="87"/>
      <c r="D1347" s="88"/>
      <c r="E1347" s="88"/>
    </row>
    <row r="1348" spans="3:5">
      <c r="C1348" s="87"/>
      <c r="D1348" s="88"/>
      <c r="E1348" s="88"/>
    </row>
    <row r="1349" spans="3:5">
      <c r="C1349" s="87"/>
      <c r="D1349" s="88"/>
      <c r="E1349" s="88"/>
    </row>
    <row r="1350" spans="3:5">
      <c r="C1350" s="87"/>
      <c r="D1350" s="88"/>
      <c r="E1350" s="88"/>
    </row>
    <row r="1351" spans="3:5">
      <c r="C1351" s="87"/>
      <c r="D1351" s="88"/>
      <c r="E1351" s="88"/>
    </row>
    <row r="1352" spans="3:5">
      <c r="C1352" s="87"/>
      <c r="D1352" s="88"/>
      <c r="E1352" s="88"/>
    </row>
    <row r="1353" spans="3:5">
      <c r="C1353" s="87"/>
      <c r="D1353" s="88"/>
      <c r="E1353" s="88"/>
    </row>
    <row r="1354" spans="3:5">
      <c r="C1354" s="87"/>
      <c r="D1354" s="88"/>
      <c r="E1354" s="88"/>
    </row>
    <row r="1355" spans="3:5">
      <c r="C1355" s="87"/>
      <c r="D1355" s="88"/>
      <c r="E1355" s="88"/>
    </row>
    <row r="1356" spans="3:5">
      <c r="C1356" s="87"/>
      <c r="D1356" s="88"/>
      <c r="E1356" s="88"/>
    </row>
    <row r="1357" spans="3:5">
      <c r="C1357" s="87"/>
      <c r="D1357" s="88"/>
      <c r="E1357" s="88"/>
    </row>
    <row r="1358" spans="3:5">
      <c r="C1358" s="87"/>
      <c r="D1358" s="88"/>
      <c r="E1358" s="88"/>
    </row>
    <row r="1359" spans="3:5">
      <c r="C1359" s="87"/>
      <c r="D1359" s="88"/>
      <c r="E1359" s="88"/>
    </row>
    <row r="1360" spans="3:5">
      <c r="C1360" s="87"/>
      <c r="D1360" s="88"/>
      <c r="E1360" s="88"/>
    </row>
    <row r="1361" spans="3:5">
      <c r="C1361" s="87"/>
      <c r="D1361" s="88"/>
      <c r="E1361" s="88"/>
    </row>
    <row r="1362" spans="3:5">
      <c r="C1362" s="87"/>
      <c r="D1362" s="88"/>
      <c r="E1362" s="88"/>
    </row>
    <row r="1363" spans="3:5">
      <c r="C1363" s="87"/>
      <c r="D1363" s="88"/>
      <c r="E1363" s="88"/>
    </row>
    <row r="1364" spans="3:5">
      <c r="C1364" s="87"/>
      <c r="D1364" s="88"/>
      <c r="E1364" s="88"/>
    </row>
    <row r="1365" spans="3:5">
      <c r="C1365" s="87"/>
      <c r="D1365" s="88"/>
      <c r="E1365" s="88"/>
    </row>
    <row r="1366" spans="3:5">
      <c r="C1366" s="87"/>
      <c r="D1366" s="88"/>
      <c r="E1366" s="88"/>
    </row>
    <row r="1367" spans="3:5">
      <c r="C1367" s="87"/>
      <c r="D1367" s="88"/>
      <c r="E1367" s="88"/>
    </row>
    <row r="1368" spans="3:5">
      <c r="C1368" s="87"/>
      <c r="D1368" s="88"/>
      <c r="E1368" s="88"/>
    </row>
    <row r="1369" spans="3:5">
      <c r="C1369" s="87"/>
      <c r="D1369" s="88"/>
      <c r="E1369" s="88"/>
    </row>
    <row r="1370" spans="3:5">
      <c r="C1370" s="87"/>
      <c r="D1370" s="88"/>
      <c r="E1370" s="88"/>
    </row>
    <row r="1371" spans="3:5">
      <c r="C1371" s="87"/>
      <c r="D1371" s="88"/>
      <c r="E1371" s="88"/>
    </row>
    <row r="1372" spans="3:5">
      <c r="C1372" s="87"/>
      <c r="D1372" s="88"/>
      <c r="E1372" s="88"/>
    </row>
    <row r="1373" spans="3:5">
      <c r="C1373" s="87"/>
      <c r="D1373" s="88"/>
      <c r="E1373" s="88"/>
    </row>
    <row r="1374" spans="3:5">
      <c r="C1374" s="87"/>
      <c r="D1374" s="88"/>
      <c r="E1374" s="88"/>
    </row>
    <row r="1375" spans="3:5">
      <c r="C1375" s="87"/>
      <c r="D1375" s="88"/>
      <c r="E1375" s="88"/>
    </row>
    <row r="1376" spans="3:5">
      <c r="C1376" s="87"/>
      <c r="D1376" s="88"/>
      <c r="E1376" s="88"/>
    </row>
    <row r="1377" spans="3:5">
      <c r="C1377" s="87"/>
      <c r="D1377" s="88"/>
      <c r="E1377" s="88"/>
    </row>
    <row r="1378" spans="3:5">
      <c r="C1378" s="87"/>
      <c r="D1378" s="88"/>
      <c r="E1378" s="88"/>
    </row>
    <row r="1379" spans="3:5">
      <c r="C1379" s="87"/>
      <c r="D1379" s="88"/>
      <c r="E1379" s="88"/>
    </row>
    <row r="1380" spans="3:5">
      <c r="C1380" s="87"/>
      <c r="D1380" s="88"/>
      <c r="E1380" s="88"/>
    </row>
    <row r="1381" spans="3:5">
      <c r="C1381" s="87"/>
      <c r="D1381" s="88"/>
      <c r="E1381" s="88"/>
    </row>
    <row r="1382" spans="3:5">
      <c r="C1382" s="87"/>
      <c r="D1382" s="88"/>
      <c r="E1382" s="88"/>
    </row>
    <row r="1383" spans="3:5">
      <c r="C1383" s="87"/>
      <c r="D1383" s="88"/>
      <c r="E1383" s="88"/>
    </row>
    <row r="1384" spans="3:5">
      <c r="C1384" s="87"/>
      <c r="D1384" s="88"/>
      <c r="E1384" s="88"/>
    </row>
    <row r="1385" spans="3:5">
      <c r="C1385" s="87"/>
      <c r="D1385" s="88"/>
      <c r="E1385" s="88"/>
    </row>
    <row r="1386" spans="3:5">
      <c r="C1386" s="87"/>
      <c r="D1386" s="88"/>
      <c r="E1386" s="88"/>
    </row>
    <row r="1387" spans="3:5">
      <c r="C1387" s="87"/>
      <c r="D1387" s="88"/>
      <c r="E1387" s="88"/>
    </row>
    <row r="1388" spans="3:5">
      <c r="C1388" s="87"/>
      <c r="D1388" s="88"/>
      <c r="E1388" s="88"/>
    </row>
    <row r="1389" spans="3:5">
      <c r="C1389" s="87"/>
      <c r="D1389" s="88"/>
      <c r="E1389" s="88"/>
    </row>
    <row r="1390" spans="3:5">
      <c r="C1390" s="87"/>
      <c r="D1390" s="88"/>
      <c r="E1390" s="88"/>
    </row>
    <row r="1391" spans="3:5">
      <c r="C1391" s="87"/>
      <c r="D1391" s="88"/>
      <c r="E1391" s="88"/>
    </row>
    <row r="1392" spans="3:5">
      <c r="C1392" s="87"/>
      <c r="D1392" s="88"/>
      <c r="E1392" s="88"/>
    </row>
    <row r="1393" spans="3:5">
      <c r="C1393" s="87"/>
      <c r="D1393" s="88"/>
      <c r="E1393" s="88"/>
    </row>
    <row r="1394" spans="3:5">
      <c r="C1394" s="87"/>
      <c r="D1394" s="88"/>
      <c r="E1394" s="88"/>
    </row>
    <row r="1395" spans="3:5">
      <c r="C1395" s="87"/>
      <c r="D1395" s="88"/>
      <c r="E1395" s="88"/>
    </row>
    <row r="1396" spans="3:5">
      <c r="C1396" s="87"/>
      <c r="D1396" s="88"/>
      <c r="E1396" s="88"/>
    </row>
    <row r="1397" spans="3:5">
      <c r="C1397" s="87"/>
      <c r="D1397" s="88"/>
      <c r="E1397" s="88"/>
    </row>
    <row r="1398" spans="3:5">
      <c r="C1398" s="87"/>
      <c r="D1398" s="88"/>
      <c r="E1398" s="88"/>
    </row>
    <row r="1399" spans="3:5">
      <c r="C1399" s="87"/>
      <c r="D1399" s="88"/>
      <c r="E1399" s="88"/>
    </row>
    <row r="1400" spans="3:5">
      <c r="C1400" s="87"/>
      <c r="D1400" s="88"/>
      <c r="E1400" s="88"/>
    </row>
    <row r="1401" spans="3:5">
      <c r="C1401" s="87"/>
      <c r="D1401" s="88"/>
      <c r="E1401" s="88"/>
    </row>
    <row r="1402" spans="3:5">
      <c r="C1402" s="87"/>
      <c r="D1402" s="88"/>
      <c r="E1402" s="88"/>
    </row>
    <row r="1403" spans="3:5">
      <c r="C1403" s="87"/>
      <c r="D1403" s="88"/>
      <c r="E1403" s="88"/>
    </row>
    <row r="1404" spans="3:5">
      <c r="C1404" s="87"/>
      <c r="D1404" s="88"/>
      <c r="E1404" s="88"/>
    </row>
    <row r="1405" spans="3:5">
      <c r="C1405" s="87"/>
      <c r="D1405" s="88"/>
      <c r="E1405" s="88"/>
    </row>
    <row r="1406" spans="3:5">
      <c r="C1406" s="87"/>
      <c r="D1406" s="88"/>
      <c r="E1406" s="88"/>
    </row>
    <row r="1407" spans="3:5">
      <c r="C1407" s="87"/>
      <c r="D1407" s="88"/>
    </row>
    <row r="1408" spans="3:5">
      <c r="C1408" s="87"/>
      <c r="D1408" s="88"/>
    </row>
    <row r="1409" spans="3:4">
      <c r="C1409" s="87"/>
      <c r="D1409" s="88"/>
    </row>
    <row r="1410" spans="3:4">
      <c r="C1410" s="87"/>
      <c r="D1410" s="88"/>
    </row>
    <row r="1411" spans="3:4">
      <c r="C1411" s="87"/>
      <c r="D1411" s="88"/>
    </row>
    <row r="1412" spans="3:4">
      <c r="C1412" s="87"/>
      <c r="D1412" s="88"/>
    </row>
    <row r="1413" spans="3:4">
      <c r="C1413" s="87"/>
      <c r="D1413" s="88"/>
    </row>
    <row r="1414" spans="3:4">
      <c r="C1414" s="87"/>
      <c r="D1414" s="88"/>
    </row>
    <row r="1415" spans="3:4">
      <c r="C1415" s="87"/>
      <c r="D1415" s="88"/>
    </row>
    <row r="1416" spans="3:4">
      <c r="C1416" s="87"/>
      <c r="D1416" s="88"/>
    </row>
    <row r="1417" spans="3:4">
      <c r="C1417" s="87"/>
      <c r="D1417" s="88"/>
    </row>
    <row r="1418" spans="3:4">
      <c r="C1418" s="87"/>
      <c r="D1418" s="88"/>
    </row>
    <row r="1419" spans="3:4">
      <c r="C1419" s="87"/>
      <c r="D1419" s="88"/>
    </row>
    <row r="1420" spans="3:4">
      <c r="C1420" s="87"/>
      <c r="D1420" s="88"/>
    </row>
    <row r="1421" spans="3:4">
      <c r="C1421" s="87"/>
      <c r="D1421" s="88"/>
    </row>
    <row r="1422" spans="3:4">
      <c r="C1422" s="87"/>
      <c r="D1422" s="88"/>
    </row>
    <row r="1423" spans="3:4">
      <c r="C1423" s="87"/>
      <c r="D1423" s="88"/>
    </row>
    <row r="1424" spans="3:4">
      <c r="C1424" s="87"/>
      <c r="D1424" s="88"/>
    </row>
    <row r="1425" spans="3:4">
      <c r="C1425" s="87"/>
      <c r="D1425" s="88"/>
    </row>
    <row r="1426" spans="3:4">
      <c r="C1426" s="87"/>
      <c r="D1426" s="88"/>
    </row>
    <row r="1427" spans="3:4">
      <c r="C1427" s="87"/>
      <c r="D1427" s="88"/>
    </row>
    <row r="1428" spans="3:4">
      <c r="C1428" s="87"/>
      <c r="D1428" s="88"/>
    </row>
    <row r="1429" spans="3:4">
      <c r="C1429" s="87"/>
      <c r="D1429" s="88"/>
    </row>
    <row r="1430" spans="3:4">
      <c r="C1430" s="87"/>
      <c r="D1430" s="88"/>
    </row>
    <row r="1431" spans="3:4">
      <c r="C1431" s="87"/>
      <c r="D1431" s="88"/>
    </row>
    <row r="1432" spans="3:4">
      <c r="C1432" s="87"/>
      <c r="D1432" s="88"/>
    </row>
    <row r="1433" spans="3:4">
      <c r="C1433" s="87"/>
      <c r="D1433" s="88"/>
    </row>
    <row r="1434" spans="3:4">
      <c r="C1434" s="87"/>
      <c r="D1434" s="88"/>
    </row>
    <row r="1435" spans="3:4">
      <c r="C1435" s="87"/>
      <c r="D1435" s="88"/>
    </row>
    <row r="1436" spans="3:4">
      <c r="C1436" s="87"/>
      <c r="D1436" s="88"/>
    </row>
    <row r="1437" spans="3:4">
      <c r="C1437" s="87"/>
      <c r="D1437" s="88"/>
    </row>
    <row r="1438" spans="3:4">
      <c r="C1438" s="87"/>
      <c r="D1438" s="88"/>
    </row>
    <row r="1439" spans="3:4">
      <c r="C1439" s="87"/>
      <c r="D1439" s="88"/>
    </row>
    <row r="1440" spans="3:4">
      <c r="C1440" s="87"/>
      <c r="D1440" s="88"/>
    </row>
    <row r="1441" spans="3:4">
      <c r="C1441" s="87"/>
      <c r="D1441" s="88"/>
    </row>
    <row r="1442" spans="3:4">
      <c r="C1442" s="87"/>
      <c r="D1442" s="88"/>
    </row>
    <row r="1443" spans="3:4">
      <c r="C1443" s="87"/>
      <c r="D1443" s="88"/>
    </row>
    <row r="1444" spans="3:4">
      <c r="C1444" s="87"/>
      <c r="D1444" s="88"/>
    </row>
    <row r="1445" spans="3:4">
      <c r="C1445" s="87"/>
      <c r="D1445" s="88"/>
    </row>
    <row r="1446" spans="3:4">
      <c r="C1446" s="87"/>
      <c r="D1446" s="88"/>
    </row>
    <row r="1447" spans="3:4">
      <c r="C1447" s="87"/>
      <c r="D1447" s="88"/>
    </row>
    <row r="1448" spans="3:4">
      <c r="C1448" s="87"/>
      <c r="D1448" s="88"/>
    </row>
    <row r="1449" spans="3:4">
      <c r="C1449" s="87"/>
      <c r="D1449" s="88"/>
    </row>
    <row r="1450" spans="3:4">
      <c r="C1450" s="87"/>
      <c r="D1450" s="88"/>
    </row>
    <row r="1451" spans="3:4">
      <c r="C1451" s="87"/>
      <c r="D1451" s="88"/>
    </row>
    <row r="1452" spans="3:4">
      <c r="C1452" s="87"/>
      <c r="D1452" s="88"/>
    </row>
    <row r="1453" spans="3:4">
      <c r="C1453" s="87"/>
      <c r="D1453" s="88"/>
    </row>
    <row r="1454" spans="3:4">
      <c r="C1454" s="87"/>
      <c r="D1454" s="88"/>
    </row>
    <row r="1455" spans="3:4">
      <c r="C1455" s="87"/>
      <c r="D1455" s="88"/>
    </row>
    <row r="1456" spans="3:4">
      <c r="C1456" s="87"/>
      <c r="D1456" s="88"/>
    </row>
    <row r="1457" spans="3:4">
      <c r="C1457" s="87"/>
      <c r="D1457" s="88"/>
    </row>
    <row r="1458" spans="3:4">
      <c r="C1458" s="87"/>
      <c r="D1458" s="88"/>
    </row>
    <row r="1459" spans="3:4">
      <c r="C1459" s="87"/>
      <c r="D1459" s="88"/>
    </row>
    <row r="1460" spans="3:4">
      <c r="C1460" s="87"/>
      <c r="D1460" s="88"/>
    </row>
    <row r="1461" spans="3:4">
      <c r="C1461" s="87"/>
      <c r="D1461" s="88"/>
    </row>
    <row r="1462" spans="3:4">
      <c r="C1462" s="87"/>
      <c r="D1462" s="88"/>
    </row>
    <row r="1463" spans="3:4">
      <c r="C1463" s="87"/>
      <c r="D1463" s="88"/>
    </row>
    <row r="1464" spans="3:4">
      <c r="C1464" s="87"/>
      <c r="D1464" s="88"/>
    </row>
    <row r="1465" spans="3:4">
      <c r="C1465" s="87"/>
      <c r="D1465" s="88"/>
    </row>
    <row r="1466" spans="3:4">
      <c r="C1466" s="87"/>
      <c r="D1466" s="88"/>
    </row>
    <row r="1467" spans="3:4">
      <c r="C1467" s="87"/>
      <c r="D1467" s="88"/>
    </row>
    <row r="1468" spans="3:4">
      <c r="C1468" s="87"/>
      <c r="D1468" s="88"/>
    </row>
    <row r="1469" spans="3:4">
      <c r="C1469" s="87"/>
      <c r="D1469" s="88"/>
    </row>
    <row r="1470" spans="3:4">
      <c r="C1470" s="87"/>
      <c r="D1470" s="88"/>
    </row>
    <row r="1471" spans="3:4">
      <c r="C1471" s="87"/>
      <c r="D1471" s="88"/>
    </row>
    <row r="1472" spans="3:4">
      <c r="C1472" s="87"/>
      <c r="D1472" s="88"/>
    </row>
    <row r="1473" spans="3:4">
      <c r="C1473" s="87"/>
      <c r="D1473" s="88"/>
    </row>
    <row r="1474" spans="3:4">
      <c r="C1474" s="87"/>
      <c r="D1474" s="88"/>
    </row>
    <row r="1475" spans="3:4">
      <c r="C1475" s="87"/>
      <c r="D1475" s="88"/>
    </row>
    <row r="1476" spans="3:4">
      <c r="C1476" s="87"/>
      <c r="D1476" s="88"/>
    </row>
    <row r="1477" spans="3:4">
      <c r="C1477" s="87"/>
      <c r="D1477" s="88"/>
    </row>
    <row r="1478" spans="3:4">
      <c r="C1478" s="87"/>
      <c r="D1478" s="88"/>
    </row>
    <row r="1479" spans="3:4">
      <c r="C1479" s="87"/>
      <c r="D1479" s="88"/>
    </row>
    <row r="1480" spans="3:4">
      <c r="C1480" s="87"/>
      <c r="D1480" s="88"/>
    </row>
    <row r="1481" spans="3:4">
      <c r="C1481" s="87"/>
      <c r="D1481" s="88"/>
    </row>
    <row r="1482" spans="3:4">
      <c r="C1482" s="87"/>
      <c r="D1482" s="88"/>
    </row>
    <row r="1483" spans="3:4">
      <c r="C1483" s="87"/>
      <c r="D1483" s="88"/>
    </row>
    <row r="1484" spans="3:4">
      <c r="C1484" s="87"/>
      <c r="D1484" s="88"/>
    </row>
    <row r="1485" spans="3:4">
      <c r="C1485" s="87"/>
      <c r="D1485" s="88"/>
    </row>
    <row r="1486" spans="3:4">
      <c r="C1486" s="87"/>
      <c r="D1486" s="88"/>
    </row>
    <row r="1487" spans="3:4">
      <c r="C1487" s="87"/>
      <c r="D1487" s="88"/>
    </row>
    <row r="1488" spans="3:4">
      <c r="C1488" s="87"/>
      <c r="D1488" s="88"/>
    </row>
    <row r="1489" spans="3:4">
      <c r="C1489" s="87"/>
      <c r="D1489" s="88"/>
    </row>
    <row r="1490" spans="3:4">
      <c r="C1490" s="87"/>
      <c r="D1490" s="88"/>
    </row>
    <row r="1491" spans="3:4">
      <c r="C1491" s="87"/>
      <c r="D1491" s="88"/>
    </row>
    <row r="1492" spans="3:4">
      <c r="C1492" s="87"/>
      <c r="D1492" s="88"/>
    </row>
    <row r="1493" spans="3:4">
      <c r="C1493" s="87"/>
      <c r="D1493" s="88"/>
    </row>
    <row r="1494" spans="3:4">
      <c r="C1494" s="87"/>
      <c r="D1494" s="88"/>
    </row>
    <row r="1495" spans="3:4">
      <c r="C1495" s="87"/>
      <c r="D1495" s="88"/>
    </row>
    <row r="1496" spans="3:4">
      <c r="C1496" s="87"/>
      <c r="D1496" s="88"/>
    </row>
    <row r="1497" spans="3:4">
      <c r="C1497" s="87"/>
      <c r="D1497" s="88"/>
    </row>
    <row r="1498" spans="3:4">
      <c r="C1498" s="87"/>
      <c r="D1498" s="88"/>
    </row>
    <row r="1499" spans="3:4">
      <c r="C1499" s="87"/>
      <c r="D1499" s="88"/>
    </row>
    <row r="1500" spans="3:4">
      <c r="C1500" s="87"/>
      <c r="D1500" s="88"/>
    </row>
    <row r="1501" spans="3:4">
      <c r="C1501" s="87"/>
      <c r="D1501" s="88"/>
    </row>
    <row r="1502" spans="3:4">
      <c r="C1502" s="87"/>
      <c r="D1502" s="88"/>
    </row>
    <row r="1503" spans="3:4">
      <c r="C1503" s="87"/>
      <c r="D1503" s="88"/>
    </row>
    <row r="1504" spans="3:4">
      <c r="C1504" s="87"/>
      <c r="D1504" s="88"/>
    </row>
    <row r="1505" spans="3:4">
      <c r="C1505" s="87"/>
      <c r="D1505" s="88"/>
    </row>
    <row r="1506" spans="3:4">
      <c r="C1506" s="87"/>
      <c r="D1506" s="88"/>
    </row>
    <row r="1507" spans="3:4">
      <c r="C1507" s="87"/>
      <c r="D1507" s="88"/>
    </row>
    <row r="1508" spans="3:4">
      <c r="C1508" s="87"/>
      <c r="D1508" s="88"/>
    </row>
    <row r="1509" spans="3:4">
      <c r="C1509" s="87"/>
      <c r="D1509" s="88"/>
    </row>
    <row r="1510" spans="3:4">
      <c r="C1510" s="87"/>
      <c r="D1510" s="88"/>
    </row>
    <row r="1511" spans="3:4">
      <c r="C1511" s="87"/>
      <c r="D1511" s="88"/>
    </row>
    <row r="1512" spans="3:4">
      <c r="C1512" s="87"/>
      <c r="D1512" s="88"/>
    </row>
    <row r="1513" spans="3:4">
      <c r="C1513" s="87"/>
      <c r="D1513" s="88"/>
    </row>
    <row r="1514" spans="3:4">
      <c r="C1514" s="87"/>
      <c r="D1514" s="88"/>
    </row>
    <row r="1515" spans="3:4">
      <c r="C1515" s="87"/>
      <c r="D1515" s="88"/>
    </row>
    <row r="1516" spans="3:4">
      <c r="C1516" s="87"/>
      <c r="D1516" s="88"/>
    </row>
    <row r="1517" spans="3:4">
      <c r="C1517" s="87"/>
      <c r="D1517" s="88"/>
    </row>
    <row r="1518" spans="3:4">
      <c r="C1518" s="87"/>
      <c r="D1518" s="88"/>
    </row>
    <row r="1519" spans="3:4">
      <c r="C1519" s="87"/>
      <c r="D1519" s="88"/>
    </row>
    <row r="1520" spans="3:4">
      <c r="C1520" s="87"/>
      <c r="D1520" s="88"/>
    </row>
    <row r="1521" spans="3:4">
      <c r="C1521" s="87"/>
      <c r="D1521" s="88"/>
    </row>
    <row r="1522" spans="3:4">
      <c r="C1522" s="87"/>
      <c r="D1522" s="88"/>
    </row>
    <row r="1523" spans="3:4">
      <c r="C1523" s="87"/>
      <c r="D1523" s="88"/>
    </row>
    <row r="1524" spans="3:4">
      <c r="C1524" s="87"/>
      <c r="D1524" s="88"/>
    </row>
    <row r="1525" spans="3:4">
      <c r="C1525" s="87"/>
      <c r="D1525" s="88"/>
    </row>
    <row r="1526" spans="3:4">
      <c r="C1526" s="87"/>
      <c r="D1526" s="88"/>
    </row>
    <row r="1527" spans="3:4">
      <c r="C1527" s="87"/>
      <c r="D1527" s="88"/>
    </row>
    <row r="1528" spans="3:4">
      <c r="C1528" s="87"/>
      <c r="D1528" s="88"/>
    </row>
    <row r="1529" spans="3:4">
      <c r="C1529" s="87"/>
      <c r="D1529" s="88"/>
    </row>
    <row r="1530" spans="3:4">
      <c r="C1530" s="87"/>
      <c r="D1530" s="88"/>
    </row>
    <row r="1531" spans="3:4">
      <c r="C1531" s="87"/>
      <c r="D1531" s="88"/>
    </row>
    <row r="1532" spans="3:4">
      <c r="C1532" s="87"/>
      <c r="D1532" s="88"/>
    </row>
    <row r="1533" spans="3:4">
      <c r="C1533" s="87"/>
      <c r="D1533" s="88"/>
    </row>
    <row r="1534" spans="3:4">
      <c r="C1534" s="87"/>
      <c r="D1534" s="88"/>
    </row>
    <row r="1535" spans="3:4">
      <c r="C1535" s="87"/>
      <c r="D1535" s="88"/>
    </row>
    <row r="1536" spans="3:4">
      <c r="C1536" s="87"/>
      <c r="D1536" s="88"/>
    </row>
    <row r="1537" spans="3:4">
      <c r="C1537" s="87"/>
      <c r="D1537" s="88"/>
    </row>
    <row r="1538" spans="3:4">
      <c r="C1538" s="87"/>
      <c r="D1538" s="88"/>
    </row>
    <row r="1539" spans="3:4">
      <c r="C1539" s="87"/>
      <c r="D1539" s="88"/>
    </row>
    <row r="1540" spans="3:4">
      <c r="C1540" s="87"/>
      <c r="D1540" s="88"/>
    </row>
    <row r="1541" spans="3:4">
      <c r="C1541" s="87"/>
      <c r="D1541" s="88"/>
    </row>
    <row r="1542" spans="3:4">
      <c r="C1542" s="87"/>
      <c r="D1542" s="88"/>
    </row>
    <row r="1543" spans="3:4">
      <c r="C1543" s="87"/>
      <c r="D1543" s="88"/>
    </row>
    <row r="1544" spans="3:4">
      <c r="C1544" s="87"/>
      <c r="D1544" s="88"/>
    </row>
    <row r="1545" spans="3:4">
      <c r="C1545" s="87"/>
      <c r="D1545" s="88"/>
    </row>
    <row r="1546" spans="3:4">
      <c r="C1546" s="87"/>
      <c r="D1546" s="88"/>
    </row>
    <row r="1547" spans="3:4">
      <c r="C1547" s="87"/>
      <c r="D1547" s="88"/>
    </row>
    <row r="1548" spans="3:4">
      <c r="C1548" s="87"/>
      <c r="D1548" s="88"/>
    </row>
    <row r="1549" spans="3:4">
      <c r="C1549" s="87"/>
      <c r="D1549" s="88"/>
    </row>
    <row r="1550" spans="3:4">
      <c r="C1550" s="87"/>
      <c r="D1550" s="88"/>
    </row>
    <row r="1551" spans="3:4">
      <c r="C1551" s="87"/>
      <c r="D1551" s="88"/>
    </row>
    <row r="1552" spans="3:4">
      <c r="C1552" s="87"/>
      <c r="D1552" s="88"/>
    </row>
    <row r="1553" spans="3:4">
      <c r="C1553" s="87"/>
      <c r="D1553" s="88"/>
    </row>
    <row r="1554" spans="3:4">
      <c r="C1554" s="87"/>
      <c r="D1554" s="88"/>
    </row>
    <row r="1555" spans="3:4">
      <c r="C1555" s="87"/>
      <c r="D1555" s="88"/>
    </row>
    <row r="1556" spans="3:4">
      <c r="C1556" s="87"/>
      <c r="D1556" s="88"/>
    </row>
    <row r="1557" spans="3:4">
      <c r="C1557" s="87"/>
      <c r="D1557" s="88"/>
    </row>
    <row r="1558" spans="3:4">
      <c r="C1558" s="87"/>
      <c r="D1558" s="88"/>
    </row>
    <row r="1559" spans="3:4">
      <c r="C1559" s="87"/>
      <c r="D1559" s="88"/>
    </row>
    <row r="1560" spans="3:4">
      <c r="C1560" s="87"/>
      <c r="D1560" s="88"/>
    </row>
    <row r="1561" spans="3:4">
      <c r="C1561" s="87"/>
      <c r="D1561" s="88"/>
    </row>
    <row r="1562" spans="3:4">
      <c r="C1562" s="87"/>
      <c r="D1562" s="88"/>
    </row>
    <row r="1563" spans="3:4">
      <c r="C1563" s="87"/>
      <c r="D1563" s="88"/>
    </row>
    <row r="1564" spans="3:4">
      <c r="C1564" s="87"/>
      <c r="D1564" s="88"/>
    </row>
    <row r="1565" spans="3:4">
      <c r="C1565" s="87"/>
      <c r="D1565" s="88"/>
    </row>
    <row r="1566" spans="3:4">
      <c r="C1566" s="87"/>
      <c r="D1566" s="88"/>
    </row>
    <row r="1567" spans="3:4">
      <c r="C1567" s="87"/>
      <c r="D1567" s="88"/>
    </row>
    <row r="1568" spans="3:4">
      <c r="C1568" s="87"/>
      <c r="D1568" s="88"/>
    </row>
    <row r="1569" spans="3:4">
      <c r="C1569" s="87"/>
      <c r="D1569" s="88"/>
    </row>
    <row r="1570" spans="3:4">
      <c r="C1570" s="87"/>
      <c r="D1570" s="88"/>
    </row>
    <row r="1571" spans="3:4">
      <c r="C1571" s="87"/>
      <c r="D1571" s="88"/>
    </row>
    <row r="1572" spans="3:4">
      <c r="C1572" s="87"/>
      <c r="D1572" s="88"/>
    </row>
    <row r="1573" spans="3:4">
      <c r="C1573" s="87"/>
      <c r="D1573" s="88"/>
    </row>
    <row r="1574" spans="3:4">
      <c r="C1574" s="87"/>
      <c r="D1574" s="88"/>
    </row>
    <row r="1575" spans="3:4">
      <c r="C1575" s="87"/>
      <c r="D1575" s="88"/>
    </row>
    <row r="1576" spans="3:4">
      <c r="C1576" s="87"/>
      <c r="D1576" s="88"/>
    </row>
    <row r="1577" spans="3:4">
      <c r="C1577" s="87"/>
      <c r="D1577" s="88"/>
    </row>
    <row r="1578" spans="3:4">
      <c r="C1578" s="87"/>
      <c r="D1578" s="88"/>
    </row>
    <row r="1579" spans="3:4">
      <c r="C1579" s="87"/>
      <c r="D1579" s="88"/>
    </row>
    <row r="1580" spans="3:4">
      <c r="C1580" s="87"/>
      <c r="D1580" s="88"/>
    </row>
    <row r="1581" spans="3:4">
      <c r="C1581" s="87"/>
      <c r="D1581" s="88"/>
    </row>
    <row r="1582" spans="3:4">
      <c r="C1582" s="87"/>
      <c r="D1582" s="88"/>
    </row>
    <row r="1583" spans="3:4">
      <c r="C1583" s="87"/>
      <c r="D1583" s="88"/>
    </row>
    <row r="1584" spans="3:4">
      <c r="C1584" s="87"/>
      <c r="D1584" s="88"/>
    </row>
    <row r="1585" spans="3:4">
      <c r="C1585" s="87"/>
      <c r="D1585" s="88"/>
    </row>
    <row r="1586" spans="3:4">
      <c r="C1586" s="87"/>
      <c r="D1586" s="88"/>
    </row>
    <row r="1587" spans="3:4">
      <c r="C1587" s="87"/>
      <c r="D1587" s="88"/>
    </row>
    <row r="1588" spans="3:4">
      <c r="C1588" s="87"/>
      <c r="D1588" s="88"/>
    </row>
    <row r="1589" spans="3:4">
      <c r="C1589" s="87"/>
      <c r="D1589" s="88"/>
    </row>
    <row r="1590" spans="3:4">
      <c r="C1590" s="87"/>
      <c r="D1590" s="88"/>
    </row>
    <row r="1591" spans="3:4">
      <c r="C1591" s="87"/>
      <c r="D1591" s="88"/>
    </row>
    <row r="1592" spans="3:4">
      <c r="C1592" s="87"/>
      <c r="D1592" s="88"/>
    </row>
    <row r="1593" spans="3:4">
      <c r="C1593" s="87"/>
      <c r="D1593" s="88"/>
    </row>
    <row r="1594" spans="3:4">
      <c r="C1594" s="87"/>
      <c r="D1594" s="88"/>
    </row>
    <row r="1595" spans="3:4">
      <c r="C1595" s="87"/>
      <c r="D1595" s="88"/>
    </row>
    <row r="1596" spans="3:4">
      <c r="C1596" s="87"/>
      <c r="D1596" s="88"/>
    </row>
    <row r="1597" spans="3:4">
      <c r="C1597" s="87"/>
      <c r="D1597" s="88"/>
    </row>
    <row r="1598" spans="3:4">
      <c r="C1598" s="87"/>
      <c r="D1598" s="88"/>
    </row>
    <row r="1599" spans="3:4">
      <c r="C1599" s="87"/>
      <c r="D1599" s="88"/>
    </row>
    <row r="1600" spans="3:4">
      <c r="C1600" s="87"/>
      <c r="D1600" s="88"/>
    </row>
    <row r="1601" spans="3:4">
      <c r="C1601" s="87"/>
      <c r="D1601" s="88"/>
    </row>
    <row r="1602" spans="3:4">
      <c r="C1602" s="87"/>
      <c r="D1602" s="88"/>
    </row>
    <row r="1603" spans="3:4">
      <c r="C1603" s="87"/>
      <c r="D1603" s="88"/>
    </row>
    <row r="1604" spans="3:4">
      <c r="C1604" s="87"/>
      <c r="D1604" s="88"/>
    </row>
    <row r="1605" spans="3:4">
      <c r="C1605" s="87"/>
      <c r="D1605" s="88"/>
    </row>
    <row r="1606" spans="3:4">
      <c r="C1606" s="87"/>
      <c r="D1606" s="88"/>
    </row>
    <row r="1607" spans="3:4">
      <c r="C1607" s="87"/>
      <c r="D1607" s="88"/>
    </row>
    <row r="1608" spans="3:4">
      <c r="C1608" s="87"/>
      <c r="D1608" s="88"/>
    </row>
    <row r="1609" spans="3:4">
      <c r="C1609" s="87"/>
      <c r="D1609" s="88"/>
    </row>
    <row r="1610" spans="3:4">
      <c r="C1610" s="87"/>
      <c r="D1610" s="88"/>
    </row>
    <row r="1611" spans="3:4">
      <c r="C1611" s="87"/>
      <c r="D1611" s="88"/>
    </row>
    <row r="1612" spans="3:4">
      <c r="C1612" s="87"/>
      <c r="D1612" s="88"/>
    </row>
    <row r="1613" spans="3:4">
      <c r="C1613" s="87"/>
      <c r="D1613" s="88"/>
    </row>
    <row r="1614" spans="3:4">
      <c r="C1614" s="87"/>
      <c r="D1614" s="88"/>
    </row>
    <row r="1615" spans="3:4">
      <c r="C1615" s="87"/>
      <c r="D1615" s="88"/>
    </row>
    <row r="1616" spans="3:4">
      <c r="C1616" s="87"/>
      <c r="D1616" s="88"/>
    </row>
    <row r="1617" spans="3:4">
      <c r="C1617" s="87"/>
      <c r="D1617" s="88"/>
    </row>
    <row r="1618" spans="3:4">
      <c r="C1618" s="87"/>
      <c r="D1618" s="88"/>
    </row>
    <row r="1619" spans="3:4">
      <c r="C1619" s="87"/>
      <c r="D1619" s="88"/>
    </row>
    <row r="1620" spans="3:4">
      <c r="C1620" s="87"/>
      <c r="D1620" s="88"/>
    </row>
    <row r="1621" spans="3:4">
      <c r="C1621" s="87"/>
      <c r="D1621" s="88"/>
    </row>
    <row r="1622" spans="3:4">
      <c r="C1622" s="87"/>
      <c r="D1622" s="88"/>
    </row>
    <row r="1623" spans="3:4">
      <c r="C1623" s="87"/>
      <c r="D1623" s="88"/>
    </row>
    <row r="1624" spans="3:4">
      <c r="C1624" s="87"/>
      <c r="D1624" s="88"/>
    </row>
    <row r="1625" spans="3:4">
      <c r="C1625" s="87"/>
      <c r="D1625" s="88"/>
    </row>
    <row r="1626" spans="3:4">
      <c r="C1626" s="87"/>
      <c r="D1626" s="88"/>
    </row>
    <row r="1627" spans="3:4">
      <c r="C1627" s="87"/>
      <c r="D1627" s="88"/>
    </row>
    <row r="1628" spans="3:4">
      <c r="C1628" s="87"/>
      <c r="D1628" s="88"/>
    </row>
    <row r="1629" spans="3:4">
      <c r="C1629" s="87"/>
      <c r="D1629" s="88"/>
    </row>
    <row r="1630" spans="3:4">
      <c r="C1630" s="87"/>
      <c r="D1630" s="88"/>
    </row>
    <row r="1631" spans="3:4">
      <c r="C1631" s="87"/>
      <c r="D1631" s="88"/>
    </row>
    <row r="1632" spans="3:4">
      <c r="C1632" s="87"/>
      <c r="D1632" s="88"/>
    </row>
    <row r="1633" spans="3:4">
      <c r="C1633" s="87"/>
      <c r="D1633" s="88"/>
    </row>
    <row r="1634" spans="3:4">
      <c r="C1634" s="87"/>
      <c r="D1634" s="88"/>
    </row>
    <row r="1635" spans="3:4">
      <c r="C1635" s="87"/>
      <c r="D1635" s="88"/>
    </row>
    <row r="1636" spans="3:4">
      <c r="C1636" s="87"/>
      <c r="D1636" s="88"/>
    </row>
    <row r="1637" spans="3:4">
      <c r="C1637" s="87"/>
      <c r="D1637" s="88"/>
    </row>
    <row r="1638" spans="3:4">
      <c r="C1638" s="87"/>
      <c r="D1638" s="88"/>
    </row>
    <row r="1639" spans="3:4">
      <c r="C1639" s="87"/>
      <c r="D1639" s="88"/>
    </row>
    <row r="1640" spans="3:4">
      <c r="C1640" s="87"/>
      <c r="D1640" s="88"/>
    </row>
    <row r="1641" spans="3:4">
      <c r="C1641" s="87"/>
      <c r="D1641" s="88"/>
    </row>
    <row r="1642" spans="3:4">
      <c r="C1642" s="87"/>
      <c r="D1642" s="88"/>
    </row>
    <row r="1643" spans="3:4">
      <c r="C1643" s="87"/>
      <c r="D1643" s="88"/>
    </row>
    <row r="1644" spans="3:4">
      <c r="C1644" s="87"/>
      <c r="D1644" s="88"/>
    </row>
    <row r="1645" spans="3:4">
      <c r="C1645" s="87"/>
      <c r="D1645" s="88"/>
    </row>
    <row r="1646" spans="3:4">
      <c r="C1646" s="87"/>
      <c r="D1646" s="88"/>
    </row>
    <row r="1647" spans="3:4">
      <c r="C1647" s="87"/>
      <c r="D1647" s="88"/>
    </row>
    <row r="1648" spans="3:4">
      <c r="C1648" s="87"/>
      <c r="D1648" s="88"/>
    </row>
    <row r="1649" spans="3:4">
      <c r="C1649" s="87"/>
      <c r="D1649" s="88"/>
    </row>
    <row r="1650" spans="3:4">
      <c r="C1650" s="87"/>
      <c r="D1650" s="88"/>
    </row>
    <row r="1651" spans="3:4">
      <c r="C1651" s="87"/>
      <c r="D1651" s="88"/>
    </row>
    <row r="1652" spans="3:4">
      <c r="C1652" s="87"/>
      <c r="D1652" s="88"/>
    </row>
    <row r="1653" spans="3:4">
      <c r="C1653" s="87"/>
      <c r="D1653" s="88"/>
    </row>
    <row r="1654" spans="3:4">
      <c r="C1654" s="87"/>
      <c r="D1654" s="88"/>
    </row>
    <row r="1655" spans="3:4">
      <c r="C1655" s="87"/>
      <c r="D1655" s="88"/>
    </row>
    <row r="1656" spans="3:4">
      <c r="C1656" s="87"/>
      <c r="D1656" s="88"/>
    </row>
    <row r="1657" spans="3:4">
      <c r="C1657" s="87"/>
      <c r="D1657" s="88"/>
    </row>
    <row r="1658" spans="3:4">
      <c r="C1658" s="87"/>
      <c r="D1658" s="88"/>
    </row>
    <row r="1659" spans="3:4">
      <c r="C1659" s="87"/>
      <c r="D1659" s="88"/>
    </row>
    <row r="1660" spans="3:4">
      <c r="C1660" s="87"/>
      <c r="D1660" s="88"/>
    </row>
    <row r="1661" spans="3:4">
      <c r="C1661" s="87"/>
      <c r="D1661" s="88"/>
    </row>
    <row r="1662" spans="3:4">
      <c r="C1662" s="87"/>
      <c r="D1662" s="88"/>
    </row>
    <row r="1663" spans="3:4">
      <c r="C1663" s="87"/>
      <c r="D1663" s="88"/>
    </row>
    <row r="1664" spans="3:4">
      <c r="C1664" s="87"/>
      <c r="D1664" s="88"/>
    </row>
    <row r="1665" spans="3:4">
      <c r="C1665" s="87"/>
      <c r="D1665" s="88"/>
    </row>
    <row r="1666" spans="3:4">
      <c r="C1666" s="87"/>
      <c r="D1666" s="88"/>
    </row>
    <row r="1667" spans="3:4">
      <c r="C1667" s="87"/>
      <c r="D1667" s="88"/>
    </row>
    <row r="1668" spans="3:4">
      <c r="C1668" s="87"/>
      <c r="D1668" s="88"/>
    </row>
    <row r="1669" spans="3:4">
      <c r="C1669" s="87"/>
      <c r="D1669" s="88"/>
    </row>
    <row r="1670" spans="3:4">
      <c r="C1670" s="87"/>
      <c r="D1670" s="88"/>
    </row>
    <row r="1671" spans="3:4">
      <c r="C1671" s="87"/>
      <c r="D1671" s="88"/>
    </row>
    <row r="1672" spans="3:4">
      <c r="C1672" s="87"/>
      <c r="D1672" s="88"/>
    </row>
    <row r="1673" spans="3:4">
      <c r="C1673" s="87"/>
      <c r="D1673" s="88"/>
    </row>
    <row r="1674" spans="3:4">
      <c r="C1674" s="87"/>
      <c r="D1674" s="88"/>
    </row>
    <row r="1675" spans="3:4">
      <c r="C1675" s="87"/>
      <c r="D1675" s="88"/>
    </row>
    <row r="1676" spans="3:4">
      <c r="C1676" s="87"/>
      <c r="D1676" s="88"/>
    </row>
    <row r="1677" spans="3:4">
      <c r="C1677" s="87"/>
      <c r="D1677" s="88"/>
    </row>
    <row r="1678" spans="3:4">
      <c r="C1678" s="87"/>
      <c r="D1678" s="88"/>
    </row>
    <row r="1679" spans="3:4">
      <c r="C1679" s="87"/>
      <c r="D1679" s="88"/>
    </row>
    <row r="1680" spans="3:4">
      <c r="C1680" s="87"/>
      <c r="D1680" s="88"/>
    </row>
    <row r="1681" spans="3:4">
      <c r="C1681" s="87"/>
      <c r="D1681" s="88"/>
    </row>
    <row r="1682" spans="3:4">
      <c r="C1682" s="87"/>
      <c r="D1682" s="88"/>
    </row>
    <row r="1683" spans="3:4">
      <c r="C1683" s="87"/>
      <c r="D1683" s="88"/>
    </row>
    <row r="1684" spans="3:4">
      <c r="C1684" s="87"/>
      <c r="D1684" s="88"/>
    </row>
    <row r="1685" spans="3:4">
      <c r="C1685" s="87"/>
      <c r="D1685" s="88"/>
    </row>
    <row r="1686" spans="3:4">
      <c r="C1686" s="87"/>
      <c r="D1686" s="88"/>
    </row>
    <row r="1687" spans="3:4">
      <c r="C1687" s="87"/>
      <c r="D1687" s="88"/>
    </row>
    <row r="1688" spans="3:4">
      <c r="C1688" s="87"/>
      <c r="D1688" s="88"/>
    </row>
    <row r="1689" spans="3:4">
      <c r="C1689" s="87"/>
      <c r="D1689" s="88"/>
    </row>
    <row r="1690" spans="3:4">
      <c r="C1690" s="87"/>
      <c r="D1690" s="88"/>
    </row>
    <row r="1691" spans="3:4">
      <c r="C1691" s="87"/>
      <c r="D1691" s="88"/>
    </row>
    <row r="1692" spans="3:4">
      <c r="C1692" s="87"/>
      <c r="D1692" s="88"/>
    </row>
    <row r="1693" spans="3:4">
      <c r="C1693" s="87"/>
      <c r="D1693" s="88"/>
    </row>
    <row r="1694" spans="3:4">
      <c r="C1694" s="87"/>
      <c r="D1694" s="88"/>
    </row>
    <row r="1695" spans="3:4">
      <c r="C1695" s="87"/>
      <c r="D1695" s="88"/>
    </row>
    <row r="1696" spans="3:4">
      <c r="C1696" s="87"/>
      <c r="D1696" s="88"/>
    </row>
    <row r="1697" spans="3:4">
      <c r="C1697" s="87"/>
      <c r="D1697" s="88"/>
    </row>
    <row r="1698" spans="3:4">
      <c r="C1698" s="87"/>
      <c r="D1698" s="88"/>
    </row>
    <row r="1699" spans="3:4">
      <c r="C1699" s="87"/>
      <c r="D1699" s="88"/>
    </row>
    <row r="1700" spans="3:4">
      <c r="C1700" s="87"/>
      <c r="D1700" s="88"/>
    </row>
    <row r="1701" spans="3:4">
      <c r="C1701" s="87"/>
      <c r="D1701" s="88"/>
    </row>
    <row r="1702" spans="3:4">
      <c r="C1702" s="87"/>
      <c r="D1702" s="88"/>
    </row>
    <row r="1703" spans="3:4">
      <c r="C1703" s="87"/>
      <c r="D1703" s="88"/>
    </row>
    <row r="1704" spans="3:4">
      <c r="C1704" s="87"/>
      <c r="D1704" s="88"/>
    </row>
    <row r="1705" spans="3:4">
      <c r="C1705" s="87"/>
      <c r="D1705" s="88"/>
    </row>
    <row r="1706" spans="3:4">
      <c r="C1706" s="87"/>
      <c r="D1706" s="88"/>
    </row>
    <row r="1707" spans="3:4">
      <c r="C1707" s="87"/>
      <c r="D1707" s="88"/>
    </row>
    <row r="1708" spans="3:4">
      <c r="C1708" s="87"/>
      <c r="D1708" s="88"/>
    </row>
    <row r="1709" spans="3:4">
      <c r="C1709" s="87"/>
      <c r="D1709" s="88"/>
    </row>
    <row r="1710" spans="3:4">
      <c r="C1710" s="87"/>
      <c r="D1710" s="88"/>
    </row>
    <row r="1711" spans="3:4">
      <c r="C1711" s="87"/>
      <c r="D1711" s="88"/>
    </row>
    <row r="1712" spans="3:4">
      <c r="C1712" s="87"/>
      <c r="D1712" s="88"/>
    </row>
    <row r="1713" spans="3:4">
      <c r="C1713" s="87"/>
      <c r="D1713" s="88"/>
    </row>
    <row r="1714" spans="3:4">
      <c r="C1714" s="87"/>
      <c r="D1714" s="88"/>
    </row>
    <row r="1715" spans="3:4">
      <c r="C1715" s="87"/>
      <c r="D1715" s="88"/>
    </row>
    <row r="1716" spans="3:4">
      <c r="C1716" s="87"/>
      <c r="D1716" s="88"/>
    </row>
    <row r="1717" spans="3:4">
      <c r="C1717" s="87"/>
      <c r="D1717" s="88"/>
    </row>
    <row r="1718" spans="3:4">
      <c r="C1718" s="87"/>
      <c r="D1718" s="88"/>
    </row>
    <row r="1719" spans="3:4">
      <c r="C1719" s="87"/>
      <c r="D1719" s="88"/>
    </row>
    <row r="1720" spans="3:4">
      <c r="C1720" s="87"/>
      <c r="D1720" s="88"/>
    </row>
    <row r="1721" spans="3:4">
      <c r="C1721" s="87"/>
      <c r="D1721" s="88"/>
    </row>
    <row r="1722" spans="3:4">
      <c r="C1722" s="87"/>
      <c r="D1722" s="88"/>
    </row>
    <row r="1723" spans="3:4">
      <c r="C1723" s="87"/>
      <c r="D1723" s="88"/>
    </row>
    <row r="1724" spans="3:4">
      <c r="C1724" s="87"/>
      <c r="D1724" s="88"/>
    </row>
    <row r="1725" spans="3:4">
      <c r="C1725" s="87"/>
      <c r="D1725" s="88"/>
    </row>
    <row r="1726" spans="3:4">
      <c r="C1726" s="87"/>
      <c r="D1726" s="88"/>
    </row>
    <row r="1727" spans="3:4">
      <c r="C1727" s="87"/>
      <c r="D1727" s="88"/>
    </row>
    <row r="1728" spans="3:4">
      <c r="C1728" s="87"/>
      <c r="D1728" s="88"/>
    </row>
    <row r="1729" spans="3:4">
      <c r="C1729" s="87"/>
      <c r="D1729" s="88"/>
    </row>
    <row r="1730" spans="3:4">
      <c r="C1730" s="87"/>
      <c r="D1730" s="88"/>
    </row>
    <row r="1731" spans="3:4">
      <c r="C1731" s="87"/>
      <c r="D1731" s="88"/>
    </row>
    <row r="1732" spans="3:4">
      <c r="C1732" s="87"/>
      <c r="D1732" s="88"/>
    </row>
    <row r="1733" spans="3:4">
      <c r="C1733" s="87"/>
      <c r="D1733" s="88"/>
    </row>
    <row r="1734" spans="3:4">
      <c r="C1734" s="87"/>
      <c r="D1734" s="88"/>
    </row>
    <row r="1735" spans="3:4">
      <c r="C1735" s="87"/>
      <c r="D1735" s="88"/>
    </row>
    <row r="1736" spans="3:4">
      <c r="C1736" s="87"/>
      <c r="D1736" s="88"/>
    </row>
    <row r="1737" spans="3:4">
      <c r="C1737" s="87"/>
      <c r="D1737" s="88"/>
    </row>
    <row r="1738" spans="3:4">
      <c r="C1738" s="87"/>
      <c r="D1738" s="88"/>
    </row>
    <row r="1739" spans="3:4">
      <c r="C1739" s="87"/>
      <c r="D1739" s="88"/>
    </row>
    <row r="1740" spans="3:4">
      <c r="C1740" s="87"/>
      <c r="D1740" s="88"/>
    </row>
    <row r="1741" spans="3:4">
      <c r="C1741" s="87"/>
      <c r="D1741" s="88"/>
    </row>
    <row r="1742" spans="3:4">
      <c r="C1742" s="87"/>
      <c r="D1742" s="88"/>
    </row>
    <row r="1743" spans="3:4">
      <c r="C1743" s="87"/>
      <c r="D1743" s="88"/>
    </row>
    <row r="1744" spans="3:4">
      <c r="C1744" s="87"/>
      <c r="D1744" s="88"/>
    </row>
    <row r="1745" spans="3:4">
      <c r="C1745" s="87"/>
      <c r="D1745" s="88"/>
    </row>
    <row r="1746" spans="3:4">
      <c r="C1746" s="87"/>
      <c r="D1746" s="88"/>
    </row>
    <row r="1747" spans="3:4">
      <c r="C1747" s="87"/>
      <c r="D1747" s="88"/>
    </row>
    <row r="1748" spans="3:4">
      <c r="C1748" s="87"/>
      <c r="D1748" s="88"/>
    </row>
    <row r="1749" spans="3:4">
      <c r="C1749" s="87"/>
      <c r="D1749" s="88"/>
    </row>
    <row r="1750" spans="3:4">
      <c r="C1750" s="87"/>
      <c r="D1750" s="88"/>
    </row>
    <row r="1751" spans="3:4">
      <c r="C1751" s="87"/>
      <c r="D1751" s="88"/>
    </row>
    <row r="1752" spans="3:4">
      <c r="C1752" s="87"/>
      <c r="D1752" s="88"/>
    </row>
  </sheetData>
  <phoneticPr fontId="20" type="noConversion"/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DCF &amp; Projected Price Terminal </vt:lpstr>
      <vt:lpstr>IS</vt:lpstr>
      <vt:lpstr>CFS </vt:lpstr>
      <vt:lpstr>BS</vt:lpstr>
      <vt:lpstr>Share Price 5y</vt:lpstr>
      <vt:lpstr>'DCF &amp; Projected Price Terminal 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Schüürmann</dc:creator>
  <cp:lastModifiedBy>Oliver Schüürmann</cp:lastModifiedBy>
  <dcterms:created xsi:type="dcterms:W3CDTF">2025-01-21T12:26:29Z</dcterms:created>
  <dcterms:modified xsi:type="dcterms:W3CDTF">2025-11-06T14:31:13Z</dcterms:modified>
</cp:coreProperties>
</file>