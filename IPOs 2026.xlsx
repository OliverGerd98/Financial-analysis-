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liverschuurmann/Desktop/"/>
    </mc:Choice>
  </mc:AlternateContent>
  <xr:revisionPtr revIDLastSave="0" documentId="13_ncr:1_{48ED3BFA-CE25-1B48-91B5-17C2F25D15C3}" xr6:coauthVersionLast="47" xr6:coauthVersionMax="47" xr10:uidLastSave="{00000000-0000-0000-0000-000000000000}"/>
  <bookViews>
    <workbookView xWindow="31180" yWindow="620" windowWidth="33560" windowHeight="19260" xr2:uid="{BF357E79-2C62-0443-BA1F-C0DB4B83C54E}"/>
  </bookViews>
  <sheets>
    <sheet name="IPOs 2026" sheetId="1" r:id="rId1"/>
    <sheet name="Monitor" sheetId="3" r:id="rId2"/>
  </sheets>
  <definedNames>
    <definedName name="_xlnm._FilterDatabase" localSheetId="0" hidden="1">'IPOs 2026'!$B$5:$L$17</definedName>
    <definedName name="_xlchart.v1.0" hidden="1">Monitor!$B$4:$B$23</definedName>
    <definedName name="_xlchart.v1.1" hidden="1">Monitor!$C$3</definedName>
    <definedName name="_xlchart.v1.2" hidden="1">Monitor!$C$4:$C$23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3" l="1"/>
  <c r="B22" i="3"/>
  <c r="B21" i="3"/>
  <c r="B20" i="3"/>
  <c r="B19" i="3"/>
  <c r="B18" i="3"/>
  <c r="B17" i="3"/>
  <c r="B15" i="3"/>
  <c r="B14" i="3"/>
  <c r="B13" i="3"/>
  <c r="B12" i="3"/>
  <c r="B11" i="3"/>
  <c r="B10" i="3"/>
  <c r="B9" i="3"/>
  <c r="B8" i="3"/>
  <c r="B7" i="3"/>
  <c r="B6" i="3"/>
  <c r="B5" i="3"/>
  <c r="B4" i="3"/>
  <c r="C22" i="3"/>
  <c r="C21" i="3"/>
  <c r="C20" i="3"/>
  <c r="C19" i="3"/>
  <c r="C18" i="3"/>
  <c r="C17" i="3"/>
  <c r="I8" i="1"/>
  <c r="J8" i="1" s="1"/>
  <c r="G8" i="1"/>
  <c r="E8" i="1"/>
  <c r="L8" i="1" s="1"/>
  <c r="B3" i="3"/>
  <c r="C3" i="3"/>
  <c r="G14" i="1"/>
  <c r="I14" i="1"/>
  <c r="J14" i="1" s="1"/>
  <c r="E14" i="1"/>
  <c r="L14" i="1" s="1"/>
  <c r="G10" i="1"/>
  <c r="I10" i="1"/>
  <c r="J10" i="1" s="1"/>
  <c r="E10" i="1"/>
  <c r="L10" i="1" s="1"/>
  <c r="G16" i="1"/>
  <c r="G15" i="1"/>
  <c r="G17" i="1"/>
  <c r="G6" i="1"/>
  <c r="G13" i="1"/>
  <c r="G9" i="1"/>
  <c r="G11" i="1"/>
  <c r="G12" i="1"/>
  <c r="G7" i="1"/>
  <c r="I16" i="1"/>
  <c r="J16" i="1" s="1"/>
  <c r="E16" i="1"/>
  <c r="L16" i="1" s="1"/>
  <c r="E9" i="1"/>
  <c r="L9" i="1" s="1"/>
  <c r="I9" i="1"/>
  <c r="J9" i="1" s="1"/>
  <c r="E13" i="1"/>
  <c r="L13" i="1" s="1"/>
  <c r="I13" i="1"/>
  <c r="J13" i="1" s="1"/>
  <c r="L21" i="1"/>
  <c r="K21" i="1"/>
  <c r="I21" i="1"/>
  <c r="J21" i="1" s="1"/>
  <c r="L23" i="1"/>
  <c r="L24" i="1"/>
  <c r="I7" i="1"/>
  <c r="J7" i="1" s="1"/>
  <c r="E7" i="1"/>
  <c r="L7" i="1" s="1"/>
  <c r="E12" i="1"/>
  <c r="K12" i="1" s="1"/>
  <c r="C10" i="3" s="1"/>
  <c r="I12" i="1"/>
  <c r="J12" i="1" s="1"/>
  <c r="E11" i="1"/>
  <c r="L11" i="1" s="1"/>
  <c r="I11" i="1"/>
  <c r="J11" i="1" s="1"/>
  <c r="E6" i="1"/>
  <c r="L6" i="1" s="1"/>
  <c r="I6" i="1"/>
  <c r="J6" i="1" s="1"/>
  <c r="E17" i="1"/>
  <c r="K17" i="1" s="1"/>
  <c r="C15" i="3" s="1"/>
  <c r="I17" i="1"/>
  <c r="J17" i="1" s="1"/>
  <c r="E15" i="1"/>
  <c r="K15" i="1" s="1"/>
  <c r="C13" i="3" s="1"/>
  <c r="I15" i="1"/>
  <c r="J15" i="1" s="1"/>
  <c r="I25" i="1"/>
  <c r="J25" i="1" s="1"/>
  <c r="K25" i="1"/>
  <c r="C23" i="3" s="1"/>
  <c r="L25" i="1"/>
  <c r="I24" i="1"/>
  <c r="J24" i="1" s="1"/>
  <c r="I23" i="1"/>
  <c r="J23" i="1" s="1"/>
  <c r="I22" i="1"/>
  <c r="J22" i="1" s="1"/>
  <c r="L20" i="1"/>
  <c r="I20" i="1"/>
  <c r="J20" i="1" s="1"/>
  <c r="I19" i="1"/>
  <c r="J19" i="1" s="1"/>
  <c r="L22" i="1"/>
  <c r="K20" i="1"/>
  <c r="L19" i="1"/>
  <c r="K8" i="1" l="1"/>
  <c r="C6" i="3" s="1"/>
  <c r="K14" i="1"/>
  <c r="C12" i="3" s="1"/>
  <c r="K10" i="1"/>
  <c r="C8" i="3" s="1"/>
  <c r="K16" i="1"/>
  <c r="C14" i="3" s="1"/>
  <c r="K9" i="1"/>
  <c r="C7" i="3" s="1"/>
  <c r="K13" i="1"/>
  <c r="C11" i="3" s="1"/>
  <c r="K6" i="1"/>
  <c r="C4" i="3" s="1"/>
  <c r="K11" i="1"/>
  <c r="C9" i="3" s="1"/>
  <c r="L15" i="1"/>
  <c r="K7" i="1"/>
  <c r="C5" i="3" s="1"/>
  <c r="L17" i="1"/>
  <c r="L12" i="1"/>
  <c r="K22" i="1"/>
  <c r="K23" i="1"/>
  <c r="K19" i="1"/>
  <c r="K24" i="1"/>
</calcChain>
</file>

<file path=xl/sharedStrings.xml><?xml version="1.0" encoding="utf-8"?>
<sst xmlns="http://schemas.openxmlformats.org/spreadsheetml/2006/main" count="64" uniqueCount="37">
  <si>
    <t xml:space="preserve">Microsoft </t>
  </si>
  <si>
    <t xml:space="preserve">Alphabet </t>
  </si>
  <si>
    <t xml:space="preserve">PayPal </t>
  </si>
  <si>
    <t xml:space="preserve">Adobe </t>
  </si>
  <si>
    <t>OpenAI</t>
  </si>
  <si>
    <t>Stripe</t>
  </si>
  <si>
    <t>Revolut</t>
  </si>
  <si>
    <t>Canva</t>
  </si>
  <si>
    <t>Share Price</t>
  </si>
  <si>
    <t>Cap/Revenue</t>
  </si>
  <si>
    <t>Cap/Net</t>
  </si>
  <si>
    <t>https://www.roic.ai</t>
  </si>
  <si>
    <t>SpaceX</t>
  </si>
  <si>
    <t>Palantir</t>
  </si>
  <si>
    <t>Outstanding</t>
  </si>
  <si>
    <t>Market Cap</t>
  </si>
  <si>
    <t>n/a</t>
  </si>
  <si>
    <t>Databricks</t>
  </si>
  <si>
    <t>Klarna</t>
  </si>
  <si>
    <t>Revenue CAGR*</t>
  </si>
  <si>
    <t>In million</t>
  </si>
  <si>
    <t>Pls update</t>
  </si>
  <si>
    <t>Revenue FY25</t>
  </si>
  <si>
    <t>Net Income FY25</t>
  </si>
  <si>
    <t>EPS FY25</t>
  </si>
  <si>
    <t>EPS % FY25</t>
  </si>
  <si>
    <t>Current 08.05.2026</t>
  </si>
  <si>
    <t>*</t>
  </si>
  <si>
    <t>******</t>
  </si>
  <si>
    <t>Reddit</t>
  </si>
  <si>
    <t>Company</t>
  </si>
  <si>
    <t>ServiceNow</t>
  </si>
  <si>
    <t>Anthropic</t>
  </si>
  <si>
    <t>Cerebras</t>
  </si>
  <si>
    <t>Tesla</t>
  </si>
  <si>
    <t>Nvidia</t>
  </si>
  <si>
    <t>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</si>
</sst>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x0.0"/>
    <numFmt numFmtId="165" formatCode="0.0%"/>
    <numFmt numFmtId="166" formatCode="**0.0%"/>
  </numFmts>
  <fonts count="7" x14ac:knownFonts="1">
    <font>
      <sz val="12"/>
      <color theme="1"/>
      <name val="Aptos Narrow"/>
      <family val="2"/>
      <scheme val="minor"/>
    </font>
    <font>
      <sz val="12"/>
      <color theme="0"/>
      <name val="Consolas"/>
      <family val="2"/>
    </font>
    <font>
      <u/>
      <sz val="12"/>
      <color theme="10"/>
      <name val="Aptos Narrow"/>
      <family val="2"/>
      <scheme val="minor"/>
    </font>
    <font>
      <sz val="12"/>
      <color rgb="FFFFC000"/>
      <name val="Consolas"/>
      <family val="2"/>
    </font>
    <font>
      <sz val="12"/>
      <color rgb="FF00B050"/>
      <name val="Consolas"/>
      <family val="2"/>
    </font>
    <font>
      <b/>
      <sz val="12"/>
      <color theme="0"/>
      <name val="Consolas"/>
      <family val="2"/>
    </font>
    <font>
      <b/>
      <sz val="12"/>
      <color rgb="FF00B05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2" fillId="2" borderId="0" xfId="1" applyFill="1"/>
    <xf numFmtId="3" fontId="1" fillId="2" borderId="0" xfId="0" applyNumberFormat="1" applyFont="1" applyFill="1"/>
    <xf numFmtId="3" fontId="1" fillId="2" borderId="0" xfId="0" applyNumberFormat="1" applyFont="1" applyFill="1" applyAlignment="1">
      <alignment horizontal="right"/>
    </xf>
    <xf numFmtId="165" fontId="1" fillId="2" borderId="0" xfId="0" applyNumberFormat="1" applyFont="1" applyFill="1" applyAlignment="1">
      <alignment horizontal="right"/>
    </xf>
    <xf numFmtId="164" fontId="1" fillId="2" borderId="0" xfId="0" applyNumberFormat="1" applyFont="1" applyFill="1" applyAlignment="1">
      <alignment horizontal="right"/>
    </xf>
    <xf numFmtId="14" fontId="3" fillId="2" borderId="0" xfId="0" applyNumberFormat="1" applyFont="1" applyFill="1" applyAlignment="1">
      <alignment horizontal="right"/>
    </xf>
    <xf numFmtId="3" fontId="3" fillId="2" borderId="0" xfId="0" applyNumberFormat="1" applyFont="1" applyFill="1" applyAlignment="1">
      <alignment horizontal="right"/>
    </xf>
    <xf numFmtId="0" fontId="3" fillId="2" borderId="0" xfId="0" applyFont="1" applyFill="1"/>
    <xf numFmtId="14" fontId="4" fillId="2" borderId="0" xfId="0" applyNumberFormat="1" applyFont="1" applyFill="1"/>
    <xf numFmtId="3" fontId="3" fillId="2" borderId="0" xfId="0" applyNumberFormat="1" applyFont="1" applyFill="1"/>
    <xf numFmtId="166" fontId="1" fillId="2" borderId="0" xfId="0" applyNumberFormat="1" applyFont="1" applyFill="1" applyAlignment="1">
      <alignment horizontal="right"/>
    </xf>
    <xf numFmtId="0" fontId="5" fillId="3" borderId="0" xfId="0" applyFont="1" applyFill="1" applyAlignment="1">
      <alignment horizontal="right" indent="2"/>
    </xf>
    <xf numFmtId="0" fontId="6" fillId="3" borderId="0" xfId="0" applyFont="1" applyFill="1" applyAlignment="1">
      <alignment horizontal="right" indent="2"/>
    </xf>
    <xf numFmtId="0" fontId="5" fillId="3" borderId="0" xfId="0" applyFont="1" applyFill="1"/>
    <xf numFmtId="164" fontId="0" fillId="0" borderId="0" xfId="0" applyNumberForma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Cap/Revenue 07.06.2026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bg1"/>
              </a:solidFill>
              <a:latin typeface="Consolas" panose="020B0609020204030204" pitchFamily="49" charset="0"/>
              <a:ea typeface="Consolas" panose="020B0609020204030204" pitchFamily="49" charset="0"/>
              <a:cs typeface="Consolas" panose="020B0609020204030204" pitchFamily="49" charset="0"/>
            </a:defRPr>
          </a:pPr>
          <a:r>
            <a:rPr lang="de-DE" sz="1400" b="1" i="0" u="none" strike="noStrike" baseline="0">
              <a:solidFill>
                <a:schemeClr val="bg1"/>
              </a:solidFill>
              <a:latin typeface="Consolas" panose="020B0609020204030204" pitchFamily="49" charset="0"/>
              <a:cs typeface="Consolas" panose="020B0609020204030204" pitchFamily="49" charset="0"/>
            </a:rPr>
            <a:t>Cap/Revenue 07.06.2026</a:t>
          </a:r>
        </a:p>
      </cx:txPr>
    </cx:title>
    <cx:plotArea>
      <cx:plotAreaRegion>
        <cx:series layoutId="boxWhisker" uniqueId="{A1B401E6-4033-3B4B-89D6-988E52E3F7AF}">
          <cx:tx>
            <cx:txData>
              <cx:f>_xlchart.v1.1</cx:f>
              <cx:v>Cap/Revenue</cx:v>
            </cx:txData>
          </cx:tx>
          <cx:spPr>
            <a:ln>
              <a:solidFill>
                <a:schemeClr val="bg1"/>
              </a:solidFill>
            </a:ln>
          </cx:spPr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>
                <a:solidFill>
                  <a:schemeClr val="bg1"/>
                </a:solidFill>
                <a:latin typeface="Consolas" panose="020B0609020204030204" pitchFamily="49" charset="0"/>
                <a:ea typeface="Consolas" panose="020B0609020204030204" pitchFamily="49" charset="0"/>
                <a:cs typeface="Consolas" panose="020B0609020204030204" pitchFamily="49" charset="0"/>
              </a:defRPr>
            </a:pPr>
            <a:endParaRPr lang="de-DE" sz="900" b="1" i="0" u="none" strike="noStrike" baseline="0">
              <a:solidFill>
                <a:schemeClr val="bg1"/>
              </a:solidFill>
              <a:latin typeface="Consolas" panose="020B0609020204030204" pitchFamily="49" charset="0"/>
              <a:cs typeface="Consolas" panose="020B0609020204030204" pitchFamily="49" charset="0"/>
            </a:endParaRPr>
          </a:p>
        </cx:txPr>
      </cx:axis>
      <cx:axis id="1">
        <cx:valScaling/>
        <cx:majorGridlines>
          <cx:spPr>
            <a:ln w="3175">
              <a:solidFill>
                <a:schemeClr val="bg1"/>
              </a:solidFill>
            </a:ln>
          </cx:spPr>
        </cx:majorGridlines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b="1">
                <a:solidFill>
                  <a:schemeClr val="bg1"/>
                </a:solidFill>
                <a:latin typeface="Consolas" panose="020B0609020204030204" pitchFamily="49" charset="0"/>
                <a:ea typeface="Consolas" panose="020B0609020204030204" pitchFamily="49" charset="0"/>
                <a:cs typeface="Consolas" panose="020B0609020204030204" pitchFamily="49" charset="0"/>
              </a:defRPr>
            </a:pPr>
            <a:endParaRPr lang="de-DE" sz="900" b="1" i="0" u="none" strike="noStrike" baseline="0">
              <a:solidFill>
                <a:schemeClr val="bg1"/>
              </a:solidFill>
              <a:latin typeface="Consolas" panose="020B0609020204030204" pitchFamily="49" charset="0"/>
              <a:cs typeface="Consolas" panose="020B0609020204030204" pitchFamily="49" charset="0"/>
            </a:endParaRPr>
          </a:p>
        </cx:txPr>
      </cx:axis>
    </cx:plotArea>
  </cx:chart>
  <cx:spPr>
    <a:solidFill>
      <a:schemeClr val="tx1"/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298450</xdr:colOff>
      <xdr:row>1</xdr:row>
      <xdr:rowOff>190500</xdr:rowOff>
    </xdr:from>
    <xdr:to>
      <xdr:col>8</xdr:col>
      <xdr:colOff>63500</xdr:colOff>
      <xdr:row>22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D333E18C-1904-A323-0D21-D50A3F4EBB3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74950" y="393700"/>
              <a:ext cx="3892550" cy="4114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oic.ai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2BC5C-1293-B649-AC4D-5D6BE84A838D}">
  <dimension ref="A1:L42"/>
  <sheetViews>
    <sheetView showGridLines="0" tabSelected="1" zoomScaleNormal="100" workbookViewId="0">
      <pane xSplit="2" topLeftCell="C1" activePane="topRight" state="frozen"/>
      <selection pane="topRight" activeCell="B13" sqref="B13"/>
    </sheetView>
  </sheetViews>
  <sheetFormatPr baseColWidth="10" defaultRowHeight="16" x14ac:dyDescent="0.2"/>
  <cols>
    <col min="1" max="1" width="4.1640625" style="1" customWidth="1"/>
    <col min="2" max="2" width="17" style="1" customWidth="1"/>
    <col min="3" max="12" width="18.83203125" style="1" customWidth="1"/>
    <col min="13" max="16384" width="10.83203125" style="1"/>
  </cols>
  <sheetData>
    <row r="1" spans="1:12" x14ac:dyDescent="0.2">
      <c r="A1" s="1" t="s">
        <v>20</v>
      </c>
    </row>
    <row r="3" spans="1:12" x14ac:dyDescent="0.2">
      <c r="B3" s="2" t="s">
        <v>11</v>
      </c>
      <c r="C3" s="10" t="s">
        <v>26</v>
      </c>
      <c r="D3" s="7" t="s">
        <v>21</v>
      </c>
    </row>
    <row r="5" spans="1:12" x14ac:dyDescent="0.2">
      <c r="B5" s="15" t="s">
        <v>30</v>
      </c>
      <c r="C5" s="14" t="s">
        <v>14</v>
      </c>
      <c r="D5" s="14" t="s">
        <v>8</v>
      </c>
      <c r="E5" s="14" t="s">
        <v>15</v>
      </c>
      <c r="F5" s="13" t="s">
        <v>22</v>
      </c>
      <c r="G5" s="13" t="s">
        <v>19</v>
      </c>
      <c r="H5" s="13" t="s">
        <v>23</v>
      </c>
      <c r="I5" s="13" t="s">
        <v>24</v>
      </c>
      <c r="J5" s="13" t="s">
        <v>25</v>
      </c>
      <c r="K5" s="13" t="s">
        <v>9</v>
      </c>
      <c r="L5" s="13" t="s">
        <v>10</v>
      </c>
    </row>
    <row r="6" spans="1:12" x14ac:dyDescent="0.2">
      <c r="B6" s="1" t="s">
        <v>13</v>
      </c>
      <c r="C6" s="8">
        <v>2391</v>
      </c>
      <c r="D6" s="8">
        <v>135</v>
      </c>
      <c r="E6" s="4">
        <f t="shared" ref="E6:E17" si="0">D6*C6</f>
        <v>322785</v>
      </c>
      <c r="F6" s="8">
        <v>4475</v>
      </c>
      <c r="G6" s="5">
        <f>(F6/1093)^(1/($C$29-$B$29))-1</f>
        <v>0.3256673970416446</v>
      </c>
      <c r="H6" s="8">
        <v>1625</v>
      </c>
      <c r="I6" s="4">
        <f t="shared" ref="I6:I17" si="1">H6/C6</f>
        <v>0.67963195315767466</v>
      </c>
      <c r="J6" s="5">
        <f>I6/D6</f>
        <v>5.0343107641309236E-3</v>
      </c>
      <c r="K6" s="6">
        <f t="shared" ref="K6:K17" si="2">E6/F6</f>
        <v>72.130726256983237</v>
      </c>
      <c r="L6" s="6">
        <f t="shared" ref="L6:L17" si="3">E6/H6</f>
        <v>198.63692307692307</v>
      </c>
    </row>
    <row r="7" spans="1:12" x14ac:dyDescent="0.2">
      <c r="B7" s="1" t="s">
        <v>35</v>
      </c>
      <c r="C7" s="8">
        <v>24304</v>
      </c>
      <c r="D7" s="8">
        <v>205</v>
      </c>
      <c r="E7" s="4">
        <f t="shared" si="0"/>
        <v>4982320</v>
      </c>
      <c r="F7" s="8">
        <v>215938</v>
      </c>
      <c r="G7" s="5">
        <f>(F7/10918)^(1/($C$29-$B$29))-1</f>
        <v>0.81650750677040618</v>
      </c>
      <c r="H7" s="8">
        <v>120067</v>
      </c>
      <c r="I7" s="4">
        <f t="shared" si="1"/>
        <v>4.9402156023699799</v>
      </c>
      <c r="J7" s="5">
        <f t="shared" ref="J7:J17" si="4">I7/D7</f>
        <v>2.4098612694487705E-2</v>
      </c>
      <c r="K7" s="6">
        <f t="shared" si="2"/>
        <v>23.07291907862442</v>
      </c>
      <c r="L7" s="6">
        <f t="shared" si="3"/>
        <v>41.496164641408548</v>
      </c>
    </row>
    <row r="8" spans="1:12" x14ac:dyDescent="0.2">
      <c r="B8" s="1" t="s">
        <v>33</v>
      </c>
      <c r="C8" s="8">
        <v>215</v>
      </c>
      <c r="D8" s="8">
        <v>201</v>
      </c>
      <c r="E8" s="4">
        <f t="shared" ref="E8" si="5">D8*C8</f>
        <v>43215</v>
      </c>
      <c r="F8" s="8">
        <v>510</v>
      </c>
      <c r="G8" s="5">
        <f>(F8/10918)^(1/($C$29-$B$29))-1</f>
        <v>-0.45814209040151521</v>
      </c>
      <c r="H8" s="8">
        <v>238</v>
      </c>
      <c r="I8" s="4">
        <f t="shared" ref="I8" si="6">H8/C8</f>
        <v>1.1069767441860465</v>
      </c>
      <c r="J8" s="5">
        <f t="shared" ref="J8" si="7">I8/D8</f>
        <v>5.5073469860002318E-3</v>
      </c>
      <c r="K8" s="6">
        <f t="shared" ref="K8" si="8">E8/F8</f>
        <v>84.735294117647058</v>
      </c>
      <c r="L8" s="6">
        <f t="shared" ref="L8" si="9">E8/H8</f>
        <v>181.57563025210084</v>
      </c>
    </row>
    <row r="9" spans="1:12" x14ac:dyDescent="0.2">
      <c r="B9" s="1" t="s">
        <v>34</v>
      </c>
      <c r="C9" s="8">
        <v>3751</v>
      </c>
      <c r="D9" s="8">
        <v>391</v>
      </c>
      <c r="E9" s="4">
        <f t="shared" si="0"/>
        <v>1466641</v>
      </c>
      <c r="F9" s="8">
        <v>94827</v>
      </c>
      <c r="G9" s="5">
        <f>(F9/31536)^(1/($C$29-$B$29))-1</f>
        <v>0.24630713363610557</v>
      </c>
      <c r="H9" s="8">
        <v>3794</v>
      </c>
      <c r="I9" s="4">
        <f t="shared" si="1"/>
        <v>1.011463609704079</v>
      </c>
      <c r="J9" s="5">
        <f t="shared" si="4"/>
        <v>2.5868634519285909E-3</v>
      </c>
      <c r="K9" s="6">
        <f t="shared" si="2"/>
        <v>15.46649161103905</v>
      </c>
      <c r="L9" s="6">
        <f t="shared" si="3"/>
        <v>386.56852925672115</v>
      </c>
    </row>
    <row r="10" spans="1:12" x14ac:dyDescent="0.2">
      <c r="B10" s="1" t="s">
        <v>29</v>
      </c>
      <c r="C10" s="8">
        <v>191</v>
      </c>
      <c r="D10" s="8">
        <v>173</v>
      </c>
      <c r="E10" s="4">
        <f t="shared" si="0"/>
        <v>33043</v>
      </c>
      <c r="F10" s="8">
        <v>2203</v>
      </c>
      <c r="G10" s="5">
        <f>(F10/229)^(1/($C$29-$B$29))-1</f>
        <v>0.57266348411506751</v>
      </c>
      <c r="H10" s="8">
        <v>530</v>
      </c>
      <c r="I10" s="4">
        <f t="shared" si="1"/>
        <v>2.7748691099476441</v>
      </c>
      <c r="J10" s="5">
        <f t="shared" si="4"/>
        <v>1.6039705837847654E-2</v>
      </c>
      <c r="K10" s="6">
        <f t="shared" si="2"/>
        <v>14.999092147072174</v>
      </c>
      <c r="L10" s="6">
        <f t="shared" si="3"/>
        <v>62.345283018867924</v>
      </c>
    </row>
    <row r="11" spans="1:12" x14ac:dyDescent="0.2">
      <c r="B11" s="1" t="s">
        <v>1</v>
      </c>
      <c r="C11" s="8">
        <v>12088</v>
      </c>
      <c r="D11" s="8">
        <v>365</v>
      </c>
      <c r="E11" s="4">
        <f t="shared" si="0"/>
        <v>4412120</v>
      </c>
      <c r="F11" s="8">
        <v>402836</v>
      </c>
      <c r="G11" s="5">
        <f>(F11/182527)^(1/($C$29-$B$29))-1</f>
        <v>0.17154839077135731</v>
      </c>
      <c r="H11" s="8">
        <v>132170</v>
      </c>
      <c r="I11" s="4">
        <f t="shared" si="1"/>
        <v>10.933984116479152</v>
      </c>
      <c r="J11" s="5">
        <f t="shared" si="4"/>
        <v>2.9956120867066172E-2</v>
      </c>
      <c r="K11" s="6">
        <f t="shared" si="2"/>
        <v>10.952645741691407</v>
      </c>
      <c r="L11" s="6">
        <f t="shared" si="3"/>
        <v>33.382159340243625</v>
      </c>
    </row>
    <row r="12" spans="1:12" x14ac:dyDescent="0.2">
      <c r="B12" s="1" t="s">
        <v>0</v>
      </c>
      <c r="C12" s="8">
        <v>7438</v>
      </c>
      <c r="D12" s="8">
        <v>416</v>
      </c>
      <c r="E12" s="4">
        <f t="shared" si="0"/>
        <v>3094208</v>
      </c>
      <c r="F12" s="8">
        <v>281724</v>
      </c>
      <c r="G12" s="5">
        <f>(F12/143015)^(1/($C$29-$B$29))-1</f>
        <v>0.14521875330710499</v>
      </c>
      <c r="H12" s="8">
        <v>101832</v>
      </c>
      <c r="I12" s="4">
        <f t="shared" si="1"/>
        <v>13.690777090615757</v>
      </c>
      <c r="J12" s="5">
        <f t="shared" si="4"/>
        <v>3.2910521852441726E-2</v>
      </c>
      <c r="K12" s="6">
        <f t="shared" si="2"/>
        <v>10.983118229188852</v>
      </c>
      <c r="L12" s="6">
        <f t="shared" si="3"/>
        <v>30.385419121690628</v>
      </c>
    </row>
    <row r="13" spans="1:12" x14ac:dyDescent="0.2">
      <c r="B13" s="1" t="s">
        <v>36</v>
      </c>
      <c r="C13" s="8">
        <v>2530</v>
      </c>
      <c r="D13" s="8">
        <v>593</v>
      </c>
      <c r="E13" s="4">
        <f t="shared" si="0"/>
        <v>1500290</v>
      </c>
      <c r="F13" s="8">
        <v>200966</v>
      </c>
      <c r="G13" s="5">
        <f>(F13/85965)^(1/($C$29-$B$29))-1</f>
        <v>0.18511415178759827</v>
      </c>
      <c r="H13" s="8">
        <v>60458</v>
      </c>
      <c r="I13" s="4">
        <f t="shared" si="1"/>
        <v>23.896442687747037</v>
      </c>
      <c r="J13" s="5">
        <f t="shared" si="4"/>
        <v>4.0297542475121476E-2</v>
      </c>
      <c r="K13" s="6">
        <f t="shared" si="2"/>
        <v>7.4653921558870655</v>
      </c>
      <c r="L13" s="6">
        <f t="shared" si="3"/>
        <v>24.815409044295212</v>
      </c>
    </row>
    <row r="14" spans="1:12" x14ac:dyDescent="0.2">
      <c r="B14" s="1" t="s">
        <v>31</v>
      </c>
      <c r="C14" s="8">
        <v>1047</v>
      </c>
      <c r="D14" s="8">
        <v>112</v>
      </c>
      <c r="E14" s="4">
        <f t="shared" ref="E14" si="10">D14*C14</f>
        <v>117264</v>
      </c>
      <c r="F14" s="8">
        <v>13278</v>
      </c>
      <c r="G14" s="5">
        <f>(F14/4519)^(1/($C$29-$B$29))-1</f>
        <v>0.24056083043090437</v>
      </c>
      <c r="H14" s="8">
        <v>1425</v>
      </c>
      <c r="I14" s="4">
        <f t="shared" ref="I14" si="11">H14/C14</f>
        <v>1.3610315186246418</v>
      </c>
      <c r="J14" s="5">
        <f t="shared" ref="J14" si="12">I14/D14</f>
        <v>1.2152067130577159E-2</v>
      </c>
      <c r="K14" s="6">
        <f t="shared" ref="K14" si="13">E14/F14</f>
        <v>8.831450519656574</v>
      </c>
      <c r="L14" s="6">
        <f t="shared" ref="L14" si="14">E14/H14</f>
        <v>82.290526315789478</v>
      </c>
    </row>
    <row r="15" spans="1:12" x14ac:dyDescent="0.2">
      <c r="B15" s="1" t="s">
        <v>3</v>
      </c>
      <c r="C15" s="8">
        <v>413</v>
      </c>
      <c r="D15" s="8">
        <v>251</v>
      </c>
      <c r="E15" s="4">
        <f t="shared" si="0"/>
        <v>103663</v>
      </c>
      <c r="F15" s="8">
        <v>23769</v>
      </c>
      <c r="G15" s="5">
        <f>(F15/12868)^(1/($C$29-$B$29))-1</f>
        <v>0.13057654594156753</v>
      </c>
      <c r="H15" s="8">
        <v>7130</v>
      </c>
      <c r="I15" s="4">
        <f t="shared" si="1"/>
        <v>17.263922518159806</v>
      </c>
      <c r="J15" s="5">
        <f t="shared" si="4"/>
        <v>6.878056780143349E-2</v>
      </c>
      <c r="K15" s="6">
        <f t="shared" si="2"/>
        <v>4.361268879633136</v>
      </c>
      <c r="L15" s="6">
        <f t="shared" si="3"/>
        <v>14.53899018232819</v>
      </c>
    </row>
    <row r="16" spans="1:12" x14ac:dyDescent="0.2">
      <c r="B16" s="1" t="s">
        <v>18</v>
      </c>
      <c r="C16" s="8">
        <v>377</v>
      </c>
      <c r="D16" s="8">
        <v>16</v>
      </c>
      <c r="E16" s="4">
        <f t="shared" si="0"/>
        <v>6032</v>
      </c>
      <c r="F16" s="8">
        <v>3503</v>
      </c>
      <c r="G16" s="12">
        <f>(F16/1904)^(1/($C$31-$B$31))-1</f>
        <v>0.22534316069727423</v>
      </c>
      <c r="H16" s="8">
        <v>-259</v>
      </c>
      <c r="I16" s="4">
        <f t="shared" si="1"/>
        <v>-0.6870026525198939</v>
      </c>
      <c r="J16" s="5">
        <f t="shared" si="4"/>
        <v>-4.2937665782493369E-2</v>
      </c>
      <c r="K16" s="6">
        <f t="shared" si="2"/>
        <v>1.7219526120468169</v>
      </c>
      <c r="L16" s="6">
        <f t="shared" si="3"/>
        <v>-23.289575289575289</v>
      </c>
    </row>
    <row r="17" spans="2:12" x14ac:dyDescent="0.2">
      <c r="B17" s="1" t="s">
        <v>2</v>
      </c>
      <c r="C17" s="8">
        <v>920</v>
      </c>
      <c r="D17" s="8">
        <v>41</v>
      </c>
      <c r="E17" s="4">
        <f t="shared" si="0"/>
        <v>37720</v>
      </c>
      <c r="F17" s="8">
        <v>33172</v>
      </c>
      <c r="G17" s="5">
        <f>(F17/21454)^(1/($C$29-$B$29))-1</f>
        <v>9.107015446297595E-2</v>
      </c>
      <c r="H17" s="8">
        <v>5233</v>
      </c>
      <c r="I17" s="4">
        <f t="shared" si="1"/>
        <v>5.6880434782608695</v>
      </c>
      <c r="J17" s="5">
        <f t="shared" si="4"/>
        <v>0.13873276776246024</v>
      </c>
      <c r="K17" s="6">
        <f t="shared" si="2"/>
        <v>1.137103581333655</v>
      </c>
      <c r="L17" s="6">
        <f t="shared" si="3"/>
        <v>7.208102426906172</v>
      </c>
    </row>
    <row r="18" spans="2:12" x14ac:dyDescent="0.2">
      <c r="C18" s="4"/>
      <c r="D18" s="4"/>
      <c r="E18" s="4"/>
      <c r="F18" s="4"/>
      <c r="G18" s="4"/>
      <c r="H18" s="4"/>
      <c r="I18" s="4"/>
      <c r="J18" s="5"/>
      <c r="K18" s="6"/>
      <c r="L18" s="6"/>
    </row>
    <row r="19" spans="2:12" x14ac:dyDescent="0.2">
      <c r="B19" s="1" t="s">
        <v>4</v>
      </c>
      <c r="C19" s="8" t="s">
        <v>16</v>
      </c>
      <c r="D19" s="8" t="s">
        <v>16</v>
      </c>
      <c r="E19" s="4">
        <v>850000</v>
      </c>
      <c r="F19" s="8">
        <v>25000</v>
      </c>
      <c r="G19" s="8" t="s">
        <v>16</v>
      </c>
      <c r="H19" s="8" t="s">
        <v>16</v>
      </c>
      <c r="I19" s="4" t="e">
        <f>H19/C19</f>
        <v>#VALUE!</v>
      </c>
      <c r="J19" s="5" t="e">
        <f t="shared" ref="J19:J25" si="15">I19/D19</f>
        <v>#VALUE!</v>
      </c>
      <c r="K19" s="6">
        <f>E19/F19</f>
        <v>34</v>
      </c>
      <c r="L19" s="6" t="e">
        <f>E19/H19</f>
        <v>#VALUE!</v>
      </c>
    </row>
    <row r="20" spans="2:12" x14ac:dyDescent="0.2">
      <c r="B20" s="1" t="s">
        <v>32</v>
      </c>
      <c r="C20" s="8" t="s">
        <v>16</v>
      </c>
      <c r="D20" s="8" t="s">
        <v>16</v>
      </c>
      <c r="E20" s="4">
        <v>965000</v>
      </c>
      <c r="F20" s="8">
        <v>45000</v>
      </c>
      <c r="G20" s="8" t="s">
        <v>16</v>
      </c>
      <c r="H20" s="8" t="s">
        <v>16</v>
      </c>
      <c r="I20" s="4" t="e">
        <f>H20/C20</f>
        <v>#VALUE!</v>
      </c>
      <c r="J20" s="5" t="e">
        <f t="shared" si="15"/>
        <v>#VALUE!</v>
      </c>
      <c r="K20" s="6">
        <f t="shared" ref="K20:K23" si="16">E20/F20</f>
        <v>21.444444444444443</v>
      </c>
      <c r="L20" s="6" t="e">
        <f t="shared" ref="L20:L23" si="17">E20/H20</f>
        <v>#VALUE!</v>
      </c>
    </row>
    <row r="21" spans="2:12" x14ac:dyDescent="0.2">
      <c r="B21" s="1" t="s">
        <v>17</v>
      </c>
      <c r="C21" s="8" t="s">
        <v>16</v>
      </c>
      <c r="D21" s="8" t="s">
        <v>16</v>
      </c>
      <c r="E21" s="4">
        <v>150000</v>
      </c>
      <c r="F21" s="8">
        <v>5000</v>
      </c>
      <c r="G21" s="8" t="s">
        <v>16</v>
      </c>
      <c r="H21" s="8" t="s">
        <v>16</v>
      </c>
      <c r="I21" s="4" t="e">
        <f>H21/C21</f>
        <v>#VALUE!</v>
      </c>
      <c r="J21" s="5" t="e">
        <f t="shared" ref="J21" si="18">I21/D21</f>
        <v>#VALUE!</v>
      </c>
      <c r="K21" s="6">
        <f t="shared" ref="K21" si="19">E21/F21</f>
        <v>30</v>
      </c>
      <c r="L21" s="6" t="e">
        <f t="shared" ref="L21" si="20">E21/H21</f>
        <v>#VALUE!</v>
      </c>
    </row>
    <row r="22" spans="2:12" x14ac:dyDescent="0.2">
      <c r="B22" s="1" t="s">
        <v>5</v>
      </c>
      <c r="C22" s="8" t="s">
        <v>16</v>
      </c>
      <c r="D22" s="8" t="s">
        <v>16</v>
      </c>
      <c r="E22" s="4">
        <v>160000</v>
      </c>
      <c r="F22" s="8">
        <v>20000</v>
      </c>
      <c r="G22" s="8" t="s">
        <v>16</v>
      </c>
      <c r="H22" s="8" t="s">
        <v>16</v>
      </c>
      <c r="I22" s="4" t="e">
        <f t="shared" ref="I22:I23" si="21">H22/C22</f>
        <v>#VALUE!</v>
      </c>
      <c r="J22" s="5" t="e">
        <f t="shared" si="15"/>
        <v>#VALUE!</v>
      </c>
      <c r="K22" s="6">
        <f t="shared" si="16"/>
        <v>8</v>
      </c>
      <c r="L22" s="6" t="e">
        <f t="shared" si="17"/>
        <v>#VALUE!</v>
      </c>
    </row>
    <row r="23" spans="2:12" x14ac:dyDescent="0.2">
      <c r="B23" s="1" t="s">
        <v>6</v>
      </c>
      <c r="C23" s="8" t="s">
        <v>16</v>
      </c>
      <c r="D23" s="8" t="s">
        <v>16</v>
      </c>
      <c r="E23" s="4">
        <v>100000</v>
      </c>
      <c r="F23" s="8">
        <v>6000</v>
      </c>
      <c r="G23" s="8" t="s">
        <v>16</v>
      </c>
      <c r="H23" s="8" t="s">
        <v>16</v>
      </c>
      <c r="I23" s="4" t="e">
        <f t="shared" si="21"/>
        <v>#VALUE!</v>
      </c>
      <c r="J23" s="5" t="e">
        <f t="shared" si="15"/>
        <v>#VALUE!</v>
      </c>
      <c r="K23" s="6">
        <f t="shared" si="16"/>
        <v>16.666666666666668</v>
      </c>
      <c r="L23" s="6" t="e">
        <f t="shared" si="17"/>
        <v>#VALUE!</v>
      </c>
    </row>
    <row r="24" spans="2:12" x14ac:dyDescent="0.2">
      <c r="B24" s="1" t="s">
        <v>7</v>
      </c>
      <c r="C24" s="8" t="s">
        <v>16</v>
      </c>
      <c r="D24" s="8" t="s">
        <v>16</v>
      </c>
      <c r="E24" s="4">
        <v>50000</v>
      </c>
      <c r="F24" s="8">
        <v>4000</v>
      </c>
      <c r="G24" s="8" t="s">
        <v>16</v>
      </c>
      <c r="H24" s="8" t="s">
        <v>16</v>
      </c>
      <c r="I24" s="4" t="e">
        <f>H24/C24</f>
        <v>#VALUE!</v>
      </c>
      <c r="J24" s="5" t="e">
        <f t="shared" si="15"/>
        <v>#VALUE!</v>
      </c>
      <c r="K24" s="6">
        <f t="shared" ref="K24:K25" si="22">E24/F24</f>
        <v>12.5</v>
      </c>
      <c r="L24" s="6" t="e">
        <f t="shared" ref="L24:L25" si="23">E24/H24</f>
        <v>#VALUE!</v>
      </c>
    </row>
    <row r="25" spans="2:12" x14ac:dyDescent="0.2">
      <c r="B25" s="1" t="s">
        <v>12</v>
      </c>
      <c r="C25" s="8" t="s">
        <v>16</v>
      </c>
      <c r="D25" s="8" t="s">
        <v>16</v>
      </c>
      <c r="E25" s="4">
        <v>1700000</v>
      </c>
      <c r="F25" s="8">
        <v>20000</v>
      </c>
      <c r="G25" s="8" t="s">
        <v>16</v>
      </c>
      <c r="H25" s="8" t="s">
        <v>16</v>
      </c>
      <c r="I25" s="4" t="e">
        <f>H25/C25</f>
        <v>#VALUE!</v>
      </c>
      <c r="J25" s="5" t="e">
        <f t="shared" si="15"/>
        <v>#VALUE!</v>
      </c>
      <c r="K25" s="6">
        <f t="shared" si="22"/>
        <v>85</v>
      </c>
      <c r="L25" s="6" t="e">
        <f t="shared" si="23"/>
        <v>#VALUE!</v>
      </c>
    </row>
    <row r="26" spans="2:12" x14ac:dyDescent="0.2"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2:12" hidden="1" x14ac:dyDescent="0.2"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2:12" hidden="1" x14ac:dyDescent="0.2">
      <c r="B28" s="9" t="s">
        <v>27</v>
      </c>
      <c r="C28" s="11"/>
      <c r="D28" s="3"/>
      <c r="E28" s="3"/>
      <c r="F28" s="3"/>
      <c r="G28" s="3"/>
      <c r="H28" s="3"/>
      <c r="I28" s="3"/>
      <c r="J28" s="3"/>
      <c r="K28" s="3"/>
      <c r="L28" s="3"/>
    </row>
    <row r="29" spans="2:12" hidden="1" x14ac:dyDescent="0.2">
      <c r="B29" s="9">
        <v>2020</v>
      </c>
      <c r="C29" s="9">
        <v>2025</v>
      </c>
      <c r="D29" s="3"/>
      <c r="E29" s="3"/>
      <c r="F29" s="3"/>
      <c r="G29" s="3"/>
      <c r="H29" s="3"/>
      <c r="I29" s="3"/>
      <c r="J29" s="3"/>
      <c r="K29" s="3"/>
      <c r="L29" s="3"/>
    </row>
    <row r="30" spans="2:12" hidden="1" x14ac:dyDescent="0.2">
      <c r="B30" s="9" t="s">
        <v>28</v>
      </c>
      <c r="C30" s="9"/>
      <c r="D30" s="3"/>
      <c r="E30" s="3"/>
      <c r="F30" s="3"/>
      <c r="G30" s="3"/>
      <c r="H30" s="3"/>
      <c r="I30" s="3"/>
      <c r="J30" s="3"/>
      <c r="K30" s="3"/>
      <c r="L30" s="3"/>
    </row>
    <row r="31" spans="2:12" hidden="1" x14ac:dyDescent="0.2">
      <c r="B31" s="9">
        <v>2022</v>
      </c>
      <c r="C31" s="9">
        <v>2025</v>
      </c>
      <c r="D31" s="3"/>
      <c r="E31" s="3"/>
      <c r="F31" s="3"/>
      <c r="G31" s="3"/>
      <c r="H31" s="3"/>
      <c r="I31" s="3"/>
      <c r="J31" s="3"/>
      <c r="K31" s="3"/>
      <c r="L31" s="3"/>
    </row>
    <row r="32" spans="2:12" hidden="1" x14ac:dyDescent="0.2"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3:12" x14ac:dyDescent="0.2">
      <c r="C33" s="3"/>
      <c r="D33" s="3"/>
      <c r="E33" s="3"/>
      <c r="F33" s="3"/>
      <c r="G33" s="3"/>
      <c r="H33" s="3"/>
      <c r="I33" s="3"/>
      <c r="J33" s="3"/>
      <c r="K33" s="3"/>
      <c r="L33" s="3"/>
    </row>
    <row r="34" spans="3:12" x14ac:dyDescent="0.2">
      <c r="C34" s="3"/>
      <c r="D34" s="3"/>
      <c r="E34" s="3"/>
      <c r="F34" s="3"/>
      <c r="G34" s="3"/>
      <c r="H34" s="3"/>
      <c r="I34" s="3"/>
      <c r="J34" s="3"/>
      <c r="K34" s="3"/>
      <c r="L34" s="3"/>
    </row>
    <row r="35" spans="3:12" x14ac:dyDescent="0.2">
      <c r="C35" s="3"/>
      <c r="D35" s="3"/>
      <c r="E35" s="3"/>
      <c r="F35" s="3"/>
      <c r="G35" s="3"/>
      <c r="H35" s="3"/>
      <c r="I35" s="3"/>
      <c r="J35" s="3"/>
      <c r="K35" s="3"/>
      <c r="L35" s="3"/>
    </row>
    <row r="36" spans="3:12" x14ac:dyDescent="0.2">
      <c r="C36" s="3"/>
      <c r="D36" s="3"/>
      <c r="E36" s="3"/>
      <c r="F36" s="3"/>
      <c r="G36" s="3"/>
      <c r="H36" s="3"/>
      <c r="I36" s="3"/>
      <c r="J36" s="3"/>
      <c r="K36" s="3"/>
      <c r="L36" s="3"/>
    </row>
    <row r="37" spans="3:12" x14ac:dyDescent="0.2"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3:12" x14ac:dyDescent="0.2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3:12" x14ac:dyDescent="0.2"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3:12" x14ac:dyDescent="0.2"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3:12" x14ac:dyDescent="0.2">
      <c r="C41" s="3"/>
      <c r="D41" s="3"/>
      <c r="E41" s="3"/>
      <c r="F41" s="3"/>
      <c r="G41" s="3"/>
      <c r="H41" s="3"/>
      <c r="I41" s="3"/>
      <c r="J41" s="3"/>
      <c r="K41" s="3"/>
      <c r="L41" s="3"/>
    </row>
    <row r="42" spans="3:12" x14ac:dyDescent="0.2">
      <c r="C42" s="3"/>
      <c r="D42" s="3"/>
      <c r="E42" s="3"/>
      <c r="F42" s="3"/>
      <c r="G42" s="3"/>
      <c r="H42" s="3"/>
      <c r="I42" s="3"/>
      <c r="J42" s="3"/>
      <c r="K42" s="3"/>
      <c r="L42" s="3"/>
    </row>
  </sheetData>
  <autoFilter ref="B5:L17" xr:uid="{5642BC5C-1293-B649-AC4D-5D6BE84A838D}">
    <sortState xmlns:xlrd2="http://schemas.microsoft.com/office/spreadsheetml/2017/richdata2" ref="B6:L17">
      <sortCondition descending="1" ref="K5:K17"/>
    </sortState>
  </autoFilter>
  <conditionalFormatting sqref="J6:J17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{6E09E96A-C43E-F34A-8675-0E544D076007}</x14:id>
        </ext>
      </extLst>
    </cfRule>
  </conditionalFormatting>
  <conditionalFormatting sqref="K6:K17">
    <cfRule type="dataBar" priority="5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{03B54444-BAC8-DB47-B932-FE8C6755C931}</x14:id>
        </ext>
      </extLst>
    </cfRule>
    <cfRule type="dataBar" priority="6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{4742296C-5C55-914E-9EB1-2C44EEBCDEDF}</x14:id>
        </ext>
      </extLst>
    </cfRule>
  </conditionalFormatting>
  <conditionalFormatting sqref="K6:K25">
    <cfRule type="dataBar" priority="7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{85E46FF1-B61A-934A-9C8D-6EEB62D59C92}</x14:id>
        </ext>
      </extLst>
    </cfRule>
  </conditionalFormatting>
  <conditionalFormatting sqref="K19:K25">
    <cfRule type="dataBar" priority="2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{46AC6D2C-88A6-504E-A4AA-13E3AD1B7FCB}</x14:id>
        </ext>
      </extLst>
    </cfRule>
  </conditionalFormatting>
  <conditionalFormatting sqref="L6:L17">
    <cfRule type="dataBar" priority="4">
      <dataBar>
        <cfvo type="min"/>
        <cfvo type="max"/>
        <color rgb="FFFF0000"/>
      </dataBar>
      <extLst>
        <ext xmlns:x14="http://schemas.microsoft.com/office/spreadsheetml/2009/9/main" uri="{B025F937-C7B1-47D3-B67F-A62EFF666E3E}">
          <x14:id>{EFDE0EC6-005B-AF45-89B9-C4106DC1AA03}</x14:id>
        </ext>
      </extLst>
    </cfRule>
  </conditionalFormatting>
  <hyperlinks>
    <hyperlink ref="B3" r:id="rId1" xr:uid="{14523316-DF08-AD4B-855E-2E3437B01B3F}"/>
  </hyperlinks>
  <pageMargins left="0.7" right="0.7" top="0.78740157499999996" bottom="0.78740157499999996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09E96A-C43E-F34A-8675-0E544D076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J6:J17</xm:sqref>
        </x14:conditionalFormatting>
        <x14:conditionalFormatting xmlns:xm="http://schemas.microsoft.com/office/excel/2006/main">
          <x14:cfRule type="dataBar" id="{03B54444-BAC8-DB47-B932-FE8C6755C9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742296C-5C55-914E-9EB1-2C44EEBCD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K6:K17</xm:sqref>
        </x14:conditionalFormatting>
        <x14:conditionalFormatting xmlns:xm="http://schemas.microsoft.com/office/excel/2006/main">
          <x14:cfRule type="dataBar" id="{85E46FF1-B61A-934A-9C8D-6EEB62D59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K6:K25</xm:sqref>
        </x14:conditionalFormatting>
        <x14:conditionalFormatting xmlns:xm="http://schemas.microsoft.com/office/excel/2006/main">
          <x14:cfRule type="dataBar" id="{46AC6D2C-88A6-504E-A4AA-13E3AD1B7F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K19:K25</xm:sqref>
        </x14:conditionalFormatting>
        <x14:conditionalFormatting xmlns:xm="http://schemas.microsoft.com/office/excel/2006/main">
          <x14:cfRule type="dataBar" id="{EFDE0EC6-005B-AF45-89B9-C4106DC1AA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2383B-C553-2D46-AD4A-DD2987D3F85F}">
  <dimension ref="B3:C23"/>
  <sheetViews>
    <sheetView workbookViewId="0">
      <selection activeCell="E38" sqref="E38"/>
    </sheetView>
  </sheetViews>
  <sheetFormatPr baseColWidth="10" defaultRowHeight="16" x14ac:dyDescent="0.2"/>
  <sheetData>
    <row r="3" spans="2:3" x14ac:dyDescent="0.2">
      <c r="B3" t="str">
        <f>'IPOs 2026'!B5</f>
        <v>Company</v>
      </c>
      <c r="C3" t="str">
        <f>'IPOs 2026'!K5</f>
        <v>Cap/Revenue</v>
      </c>
    </row>
    <row r="4" spans="2:3" x14ac:dyDescent="0.2">
      <c r="B4" t="str">
        <f>'IPOs 2026'!B6</f>
        <v>Palantir</v>
      </c>
      <c r="C4" s="16">
        <f>'IPOs 2026'!K6</f>
        <v>72.130726256983237</v>
      </c>
    </row>
    <row r="5" spans="2:3" x14ac:dyDescent="0.2">
      <c r="B5" t="str">
        <f>'IPOs 2026'!B7</f>
        <v>Nvidia</v>
      </c>
      <c r="C5" s="16">
        <f>'IPOs 2026'!K7</f>
        <v>23.07291907862442</v>
      </c>
    </row>
    <row r="6" spans="2:3" x14ac:dyDescent="0.2">
      <c r="B6" t="str">
        <f>'IPOs 2026'!B8</f>
        <v>Cerebras</v>
      </c>
      <c r="C6" s="16">
        <f>'IPOs 2026'!K8</f>
        <v>84.735294117647058</v>
      </c>
    </row>
    <row r="7" spans="2:3" x14ac:dyDescent="0.2">
      <c r="B7" t="str">
        <f>'IPOs 2026'!B9</f>
        <v>Tesla</v>
      </c>
      <c r="C7" s="16">
        <f>'IPOs 2026'!K9</f>
        <v>15.46649161103905</v>
      </c>
    </row>
    <row r="8" spans="2:3" x14ac:dyDescent="0.2">
      <c r="B8" t="str">
        <f>'IPOs 2026'!B10</f>
        <v>Reddit</v>
      </c>
      <c r="C8" s="16">
        <f>'IPOs 2026'!K10</f>
        <v>14.999092147072174</v>
      </c>
    </row>
    <row r="9" spans="2:3" x14ac:dyDescent="0.2">
      <c r="B9" t="str">
        <f>'IPOs 2026'!B11</f>
        <v xml:space="preserve">Alphabet </v>
      </c>
      <c r="C9" s="16">
        <f>'IPOs 2026'!K11</f>
        <v>10.952645741691407</v>
      </c>
    </row>
    <row r="10" spans="2:3" x14ac:dyDescent="0.2">
      <c r="B10" t="str">
        <f>'IPOs 2026'!B12</f>
        <v xml:space="preserve">Microsoft </v>
      </c>
      <c r="C10" s="16">
        <f>'IPOs 2026'!K12</f>
        <v>10.983118229188852</v>
      </c>
    </row>
    <row r="11" spans="2:3" x14ac:dyDescent="0.2">
      <c r="B11" t="str">
        <f>'IPOs 2026'!B13</f>
        <v>Meta</v>
      </c>
      <c r="C11" s="16">
        <f>'IPOs 2026'!K13</f>
        <v>7.4653921558870655</v>
      </c>
    </row>
    <row r="12" spans="2:3" x14ac:dyDescent="0.2">
      <c r="B12" t="str">
        <f>'IPOs 2026'!B14</f>
        <v>ServiceNow</v>
      </c>
      <c r="C12" s="16">
        <f>'IPOs 2026'!K14</f>
        <v>8.831450519656574</v>
      </c>
    </row>
    <row r="13" spans="2:3" x14ac:dyDescent="0.2">
      <c r="B13" t="str">
        <f>'IPOs 2026'!B15</f>
        <v xml:space="preserve">Adobe </v>
      </c>
      <c r="C13" s="16">
        <f>'IPOs 2026'!K15</f>
        <v>4.361268879633136</v>
      </c>
    </row>
    <row r="14" spans="2:3" x14ac:dyDescent="0.2">
      <c r="B14" t="str">
        <f>'IPOs 2026'!B16</f>
        <v>Klarna</v>
      </c>
      <c r="C14" s="16">
        <f>'IPOs 2026'!K16</f>
        <v>1.7219526120468169</v>
      </c>
    </row>
    <row r="15" spans="2:3" x14ac:dyDescent="0.2">
      <c r="B15" t="str">
        <f>'IPOs 2026'!B17</f>
        <v xml:space="preserve">PayPal </v>
      </c>
      <c r="C15" s="16">
        <f>'IPOs 2026'!K17</f>
        <v>1.137103581333655</v>
      </c>
    </row>
    <row r="16" spans="2:3" x14ac:dyDescent="0.2">
      <c r="C16" s="16"/>
    </row>
    <row r="17" spans="2:3" x14ac:dyDescent="0.2">
      <c r="B17" t="str">
        <f>'IPOs 2026'!B19</f>
        <v>OpenAI</v>
      </c>
      <c r="C17" s="16">
        <f>'IPOs 2026'!K19</f>
        <v>34</v>
      </c>
    </row>
    <row r="18" spans="2:3" x14ac:dyDescent="0.2">
      <c r="B18" t="str">
        <f>'IPOs 2026'!B20</f>
        <v>Anthropic</v>
      </c>
      <c r="C18" s="16">
        <f>'IPOs 2026'!K20</f>
        <v>21.444444444444443</v>
      </c>
    </row>
    <row r="19" spans="2:3" x14ac:dyDescent="0.2">
      <c r="B19" t="str">
        <f>'IPOs 2026'!B21</f>
        <v>Databricks</v>
      </c>
      <c r="C19" s="16">
        <f>'IPOs 2026'!K21</f>
        <v>30</v>
      </c>
    </row>
    <row r="20" spans="2:3" x14ac:dyDescent="0.2">
      <c r="B20" t="str">
        <f>'IPOs 2026'!B22</f>
        <v>Stripe</v>
      </c>
      <c r="C20" s="16">
        <f>'IPOs 2026'!K22</f>
        <v>8</v>
      </c>
    </row>
    <row r="21" spans="2:3" x14ac:dyDescent="0.2">
      <c r="B21" t="str">
        <f>'IPOs 2026'!B23</f>
        <v>Revolut</v>
      </c>
      <c r="C21" s="16">
        <f>'IPOs 2026'!K23</f>
        <v>16.666666666666668</v>
      </c>
    </row>
    <row r="22" spans="2:3" x14ac:dyDescent="0.2">
      <c r="B22" t="str">
        <f>'IPOs 2026'!B24</f>
        <v>Canva</v>
      </c>
      <c r="C22" s="16">
        <f>'IPOs 2026'!K24</f>
        <v>12.5</v>
      </c>
    </row>
    <row r="23" spans="2:3" x14ac:dyDescent="0.2">
      <c r="B23" t="str">
        <f>'IPOs 2026'!B25</f>
        <v>SpaceX</v>
      </c>
      <c r="C23" s="16">
        <f>'IPOs 2026'!K25</f>
        <v>85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IPOs 2026</vt:lpstr>
      <vt:lpstr>Monitor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Schüürmann</dc:creator>
  <cp:lastModifiedBy>Oliver Schüürmann</cp:lastModifiedBy>
  <dcterms:created xsi:type="dcterms:W3CDTF">2026-05-08T09:59:05Z</dcterms:created>
  <dcterms:modified xsi:type="dcterms:W3CDTF">2026-06-11T11:51:41Z</dcterms:modified>
</cp:coreProperties>
</file>