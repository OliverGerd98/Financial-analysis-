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7C6D09EC-0DD2-AF4E-A295-FF1DAA77004E}" xr6:coauthVersionLast="47" xr6:coauthVersionMax="47" xr10:uidLastSave="{00000000-0000-0000-0000-000000000000}"/>
  <bookViews>
    <workbookView xWindow="28800" yWindow="1200" windowWidth="28540" windowHeight="17040" xr2:uid="{BF357E79-2C62-0443-BA1F-C0DB4B83C54E}"/>
  </bookViews>
  <sheets>
    <sheet name="IPO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G14" i="1"/>
  <c r="G12" i="1"/>
  <c r="G11" i="1"/>
  <c r="G10" i="1"/>
  <c r="G9" i="1"/>
  <c r="G8" i="1"/>
  <c r="G7" i="1"/>
  <c r="G6" i="1"/>
  <c r="I13" i="1"/>
  <c r="J13" i="1" s="1"/>
  <c r="E13" i="1"/>
  <c r="L13" i="1" s="1"/>
  <c r="E9" i="1"/>
  <c r="L9" i="1" s="1"/>
  <c r="I9" i="1"/>
  <c r="J9" i="1" s="1"/>
  <c r="E10" i="1"/>
  <c r="L10" i="1" s="1"/>
  <c r="I10" i="1"/>
  <c r="J10" i="1" s="1"/>
  <c r="L20" i="1"/>
  <c r="K20" i="1"/>
  <c r="I20" i="1"/>
  <c r="J20" i="1" s="1"/>
  <c r="L22" i="1"/>
  <c r="L23" i="1"/>
  <c r="I6" i="1"/>
  <c r="J6" i="1" s="1"/>
  <c r="E6" i="1"/>
  <c r="L6" i="1" s="1"/>
  <c r="E7" i="1"/>
  <c r="K7" i="1" s="1"/>
  <c r="I7" i="1"/>
  <c r="J7" i="1" s="1"/>
  <c r="E8" i="1"/>
  <c r="L8" i="1" s="1"/>
  <c r="I8" i="1"/>
  <c r="J8" i="1" s="1"/>
  <c r="E11" i="1"/>
  <c r="L11" i="1" s="1"/>
  <c r="I11" i="1"/>
  <c r="J11" i="1" s="1"/>
  <c r="E12" i="1"/>
  <c r="K12" i="1" s="1"/>
  <c r="I12" i="1"/>
  <c r="J12" i="1" s="1"/>
  <c r="E14" i="1"/>
  <c r="K14" i="1" s="1"/>
  <c r="I14" i="1"/>
  <c r="J14" i="1" s="1"/>
  <c r="I24" i="1"/>
  <c r="J24" i="1" s="1"/>
  <c r="K24" i="1"/>
  <c r="L24" i="1"/>
  <c r="I23" i="1"/>
  <c r="J23" i="1" s="1"/>
  <c r="I22" i="1"/>
  <c r="J22" i="1" s="1"/>
  <c r="I21" i="1"/>
  <c r="J21" i="1" s="1"/>
  <c r="L19" i="1"/>
  <c r="I19" i="1"/>
  <c r="J19" i="1" s="1"/>
  <c r="I18" i="1"/>
  <c r="J18" i="1" s="1"/>
  <c r="L21" i="1"/>
  <c r="K19" i="1"/>
  <c r="L18" i="1"/>
  <c r="K13" i="1" l="1"/>
  <c r="K9" i="1"/>
  <c r="K10" i="1"/>
  <c r="K11" i="1"/>
  <c r="K8" i="1"/>
  <c r="L14" i="1"/>
  <c r="K6" i="1"/>
  <c r="L12" i="1"/>
  <c r="L7" i="1"/>
  <c r="K21" i="1"/>
  <c r="K22" i="1"/>
  <c r="K18" i="1"/>
  <c r="K23" i="1"/>
</calcChain>
</file>

<file path=xl/sharedStrings.xml><?xml version="1.0" encoding="utf-8"?>
<sst xmlns="http://schemas.openxmlformats.org/spreadsheetml/2006/main" count="70" uniqueCount="37">
  <si>
    <t xml:space="preserve">Microsoft </t>
  </si>
  <si>
    <t xml:space="preserve">Alphabet </t>
  </si>
  <si>
    <t xml:space="preserve">PayPal </t>
  </si>
  <si>
    <t xml:space="preserve">Adobe </t>
  </si>
  <si>
    <t>OpenAI</t>
  </si>
  <si>
    <t>Antropic</t>
  </si>
  <si>
    <t>Stripe</t>
  </si>
  <si>
    <t>Revolut</t>
  </si>
  <si>
    <t>Canva</t>
  </si>
  <si>
    <t>Share Price</t>
  </si>
  <si>
    <t>Cap/Revenue</t>
  </si>
  <si>
    <t>Cap/Net</t>
  </si>
  <si>
    <t>https://www.roic.ai</t>
  </si>
  <si>
    <t>SpaceX</t>
  </si>
  <si>
    <t>Palantir</t>
  </si>
  <si>
    <t>NVIDIA</t>
  </si>
  <si>
    <t>Outstanding</t>
  </si>
  <si>
    <t>Market Cap</t>
  </si>
  <si>
    <t>n/a</t>
  </si>
  <si>
    <t>Databricks</t>
  </si>
  <si>
    <t>META</t>
  </si>
  <si>
    <t>TESLA</t>
  </si>
  <si>
    <t>Klarna</t>
  </si>
  <si>
    <t>&lt;- OKAY</t>
  </si>
  <si>
    <t xml:space="preserve">IPOs </t>
  </si>
  <si>
    <t>Revenue CAGR*</t>
  </si>
  <si>
    <t>In million</t>
  </si>
  <si>
    <t>Pls update</t>
  </si>
  <si>
    <t>Revenue FY25</t>
  </si>
  <si>
    <t>Net Income FY25</t>
  </si>
  <si>
    <t>EPS FY25</t>
  </si>
  <si>
    <t>EPS % FY25</t>
  </si>
  <si>
    <t>Current 08.05.2026</t>
  </si>
  <si>
    <t>*</t>
  </si>
  <si>
    <t>******</t>
  </si>
  <si>
    <t>&lt;- NOT AT IPO ¯\_(ツ)_/¯</t>
  </si>
  <si>
    <t>MAYBE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</si>
</sst>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x0.0"/>
    <numFmt numFmtId="165" formatCode="0.0%"/>
    <numFmt numFmtId="166" formatCode="**0.0%"/>
  </numFmts>
  <fonts count="5" x14ac:knownFonts="1">
    <font>
      <sz val="12"/>
      <color theme="1"/>
      <name val="Aptos Narrow"/>
      <family val="2"/>
      <scheme val="minor"/>
    </font>
    <font>
      <sz val="12"/>
      <color theme="0"/>
      <name val="Consolas"/>
      <family val="2"/>
    </font>
    <font>
      <u/>
      <sz val="12"/>
      <color theme="10"/>
      <name val="Aptos Narrow"/>
      <family val="2"/>
      <scheme val="minor"/>
    </font>
    <font>
      <sz val="12"/>
      <color rgb="FFFFC000"/>
      <name val="Consolas"/>
      <family val="2"/>
    </font>
    <font>
      <sz val="12"/>
      <color rgb="FF00B050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1" applyFill="1"/>
    <xf numFmtId="3" fontId="1" fillId="2" borderId="0" xfId="0" applyNumberFormat="1" applyFont="1" applyFill="1"/>
    <xf numFmtId="0" fontId="1" fillId="3" borderId="0" xfId="0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0" fontId="3" fillId="2" borderId="0" xfId="0" applyFont="1" applyFill="1"/>
    <xf numFmtId="0" fontId="4" fillId="3" borderId="0" xfId="0" applyFont="1" applyFill="1" applyAlignment="1">
      <alignment horizontal="right"/>
    </xf>
    <xf numFmtId="14" fontId="4" fillId="2" borderId="0" xfId="0" applyNumberFormat="1" applyFont="1" applyFill="1"/>
    <xf numFmtId="3" fontId="3" fillId="2" borderId="0" xfId="0" applyNumberFormat="1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ic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BC5C-1293-B649-AC4D-5D6BE84A838D}">
  <dimension ref="A1:P41"/>
  <sheetViews>
    <sheetView showGridLines="0" tabSelected="1" zoomScale="114" zoomScaleNormal="114" workbookViewId="0">
      <pane xSplit="2" topLeftCell="C1" activePane="topRight" state="frozen"/>
      <selection pane="topRight" activeCell="C16" sqref="C16:L16"/>
    </sheetView>
  </sheetViews>
  <sheetFormatPr baseColWidth="10" defaultRowHeight="16" x14ac:dyDescent="0.2"/>
  <cols>
    <col min="1" max="1" width="4.1640625" style="1" customWidth="1"/>
    <col min="2" max="2" width="17" style="1" customWidth="1"/>
    <col min="3" max="12" width="15.83203125" style="1" customWidth="1"/>
    <col min="13" max="16384" width="10.83203125" style="1"/>
  </cols>
  <sheetData>
    <row r="1" spans="1:12" x14ac:dyDescent="0.2">
      <c r="A1" s="1" t="s">
        <v>26</v>
      </c>
    </row>
    <row r="3" spans="1:12" x14ac:dyDescent="0.2">
      <c r="B3" s="3" t="s">
        <v>12</v>
      </c>
      <c r="C3" s="15" t="s">
        <v>32</v>
      </c>
      <c r="D3" s="9" t="s">
        <v>27</v>
      </c>
    </row>
    <row r="5" spans="1:12" x14ac:dyDescent="0.2">
      <c r="B5" s="2"/>
      <c r="C5" s="14" t="s">
        <v>16</v>
      </c>
      <c r="D5" s="14" t="s">
        <v>9</v>
      </c>
      <c r="E5" s="14" t="s">
        <v>17</v>
      </c>
      <c r="F5" s="5" t="s">
        <v>28</v>
      </c>
      <c r="G5" s="5" t="s">
        <v>25</v>
      </c>
      <c r="H5" s="5" t="s">
        <v>29</v>
      </c>
      <c r="I5" s="5" t="s">
        <v>30</v>
      </c>
      <c r="J5" s="5" t="s">
        <v>31</v>
      </c>
      <c r="K5" s="5" t="s">
        <v>10</v>
      </c>
      <c r="L5" s="5" t="s">
        <v>11</v>
      </c>
    </row>
    <row r="6" spans="1:12" x14ac:dyDescent="0.2">
      <c r="B6" s="1" t="s">
        <v>15</v>
      </c>
      <c r="C6" s="10">
        <v>24304</v>
      </c>
      <c r="D6" s="10">
        <v>211</v>
      </c>
      <c r="E6" s="6">
        <f>D6*C6</f>
        <v>5128144</v>
      </c>
      <c r="F6" s="10">
        <v>215938</v>
      </c>
      <c r="G6" s="11">
        <f>(F6/10918)^(1/($C$28-$B$28))-1</f>
        <v>0.81650750677040618</v>
      </c>
      <c r="H6" s="10">
        <v>120067</v>
      </c>
      <c r="I6" s="6">
        <f>H6/C6</f>
        <v>4.9402156023699799</v>
      </c>
      <c r="J6" s="7">
        <f>I6/D6</f>
        <v>2.3413344087061517E-2</v>
      </c>
      <c r="K6" s="8">
        <f>E6/F6</f>
        <v>23.748224027267085</v>
      </c>
      <c r="L6" s="8">
        <f>E6/H6</f>
        <v>42.710686533352209</v>
      </c>
    </row>
    <row r="7" spans="1:12" x14ac:dyDescent="0.2">
      <c r="B7" s="1" t="s">
        <v>0</v>
      </c>
      <c r="C7" s="10">
        <v>7438</v>
      </c>
      <c r="D7" s="10">
        <v>420</v>
      </c>
      <c r="E7" s="6">
        <f>D7*C7</f>
        <v>3123960</v>
      </c>
      <c r="F7" s="10">
        <v>281724</v>
      </c>
      <c r="G7" s="11">
        <f>(F7/143015)^(1/($C$28-$B$28))-1</f>
        <v>0.14521875330710499</v>
      </c>
      <c r="H7" s="10">
        <v>101832</v>
      </c>
      <c r="I7" s="6">
        <f>H7/C7</f>
        <v>13.690777090615757</v>
      </c>
      <c r="J7" s="7">
        <f t="shared" ref="J7:J24" si="0">I7/D7</f>
        <v>3.2597088310989897E-2</v>
      </c>
      <c r="K7" s="8">
        <f>E7/F7</f>
        <v>11.088725135238745</v>
      </c>
      <c r="L7" s="8">
        <f>E7/H7</f>
        <v>30.677586613245346</v>
      </c>
    </row>
    <row r="8" spans="1:12" x14ac:dyDescent="0.2">
      <c r="B8" s="1" t="s">
        <v>1</v>
      </c>
      <c r="C8" s="10">
        <v>12088</v>
      </c>
      <c r="D8" s="10">
        <v>395</v>
      </c>
      <c r="E8" s="6">
        <f t="shared" ref="E8:E14" si="1">D8*C8</f>
        <v>4774760</v>
      </c>
      <c r="F8" s="10">
        <v>402836</v>
      </c>
      <c r="G8" s="11">
        <f>(F8/182527)^(1/($C$28-$B$28))-1</f>
        <v>0.17154839077135731</v>
      </c>
      <c r="H8" s="10">
        <v>132170</v>
      </c>
      <c r="I8" s="6">
        <f>H8/C8</f>
        <v>10.933984116479152</v>
      </c>
      <c r="J8" s="7">
        <f t="shared" si="0"/>
        <v>2.7680972446782665E-2</v>
      </c>
      <c r="K8" s="8">
        <f>E8/F8</f>
        <v>11.852863199912619</v>
      </c>
      <c r="L8" s="8">
        <f>E8/H8</f>
        <v>36.125898464099265</v>
      </c>
    </row>
    <row r="9" spans="1:12" x14ac:dyDescent="0.2">
      <c r="B9" s="1" t="s">
        <v>21</v>
      </c>
      <c r="C9" s="10">
        <v>3751</v>
      </c>
      <c r="D9" s="10">
        <v>411</v>
      </c>
      <c r="E9" s="6">
        <f t="shared" si="1"/>
        <v>1541661</v>
      </c>
      <c r="F9" s="10">
        <v>94827</v>
      </c>
      <c r="G9" s="11">
        <f>(F9/31536)^(1/($C$28-$B$28))-1</f>
        <v>0.24630713363610557</v>
      </c>
      <c r="H9" s="10">
        <v>3794</v>
      </c>
      <c r="I9" s="6">
        <f>H9/C9</f>
        <v>1.011463609704079</v>
      </c>
      <c r="J9" s="7">
        <f t="shared" ref="J9" si="2">I9/D9</f>
        <v>2.4609820187447176E-3</v>
      </c>
      <c r="K9" s="8">
        <f>E9/F9</f>
        <v>16.257616501629283</v>
      </c>
      <c r="L9" s="8">
        <f>E9/H9</f>
        <v>406.34185556141279</v>
      </c>
    </row>
    <row r="10" spans="1:12" x14ac:dyDescent="0.2">
      <c r="B10" s="1" t="s">
        <v>20</v>
      </c>
      <c r="C10" s="10">
        <v>2530</v>
      </c>
      <c r="D10" s="10">
        <v>615</v>
      </c>
      <c r="E10" s="6">
        <f t="shared" si="1"/>
        <v>1555950</v>
      </c>
      <c r="F10" s="10">
        <v>200966</v>
      </c>
      <c r="G10" s="11">
        <f>(F10/85965)^(1/($C$28-$B$28))-1</f>
        <v>0.18511415178759827</v>
      </c>
      <c r="H10" s="10">
        <v>60458</v>
      </c>
      <c r="I10" s="6">
        <f>H10/C10</f>
        <v>23.896442687747037</v>
      </c>
      <c r="J10" s="7">
        <f t="shared" ref="J10" si="3">I10/D10</f>
        <v>3.8856004370320385E-2</v>
      </c>
      <c r="K10" s="8">
        <f>E10/F10</f>
        <v>7.7423544281122183</v>
      </c>
      <c r="L10" s="8">
        <f>E10/H10</f>
        <v>25.736048165668727</v>
      </c>
    </row>
    <row r="11" spans="1:12" x14ac:dyDescent="0.2">
      <c r="B11" s="1" t="s">
        <v>14</v>
      </c>
      <c r="C11" s="10">
        <v>2391</v>
      </c>
      <c r="D11" s="10">
        <v>137</v>
      </c>
      <c r="E11" s="6">
        <f t="shared" si="1"/>
        <v>327567</v>
      </c>
      <c r="F11" s="10">
        <v>4475</v>
      </c>
      <c r="G11" s="11">
        <f>(F11/1093)^(1/($C$28-$B$28))-1</f>
        <v>0.3256673970416446</v>
      </c>
      <c r="H11" s="10">
        <v>1625</v>
      </c>
      <c r="I11" s="6">
        <f>H11/C11</f>
        <v>0.67963195315767466</v>
      </c>
      <c r="J11" s="7">
        <f t="shared" si="0"/>
        <v>4.9608171763333916E-3</v>
      </c>
      <c r="K11" s="8">
        <f t="shared" ref="K11" si="4">E11/F11</f>
        <v>73.199329608938541</v>
      </c>
      <c r="L11" s="8">
        <f t="shared" ref="L11" si="5">E11/H11</f>
        <v>201.57969230769231</v>
      </c>
    </row>
    <row r="12" spans="1:12" x14ac:dyDescent="0.2">
      <c r="B12" s="1" t="s">
        <v>2</v>
      </c>
      <c r="C12" s="10">
        <v>920</v>
      </c>
      <c r="D12" s="10">
        <v>46</v>
      </c>
      <c r="E12" s="6">
        <f t="shared" si="1"/>
        <v>42320</v>
      </c>
      <c r="F12" s="10">
        <v>33172</v>
      </c>
      <c r="G12" s="11">
        <f>(F12/21454)^(1/($C$28-$B$28))-1</f>
        <v>9.107015446297595E-2</v>
      </c>
      <c r="H12" s="10">
        <v>5233</v>
      </c>
      <c r="I12" s="6">
        <f t="shared" ref="I12:I14" si="6">H12/C12</f>
        <v>5.6880434782608695</v>
      </c>
      <c r="J12" s="7">
        <f t="shared" si="0"/>
        <v>0.12365311909262759</v>
      </c>
      <c r="K12" s="8">
        <f>E12/F12</f>
        <v>1.2757747497889786</v>
      </c>
      <c r="L12" s="8">
        <f>E12/H12</f>
        <v>8.0871393082361926</v>
      </c>
    </row>
    <row r="13" spans="1:12" x14ac:dyDescent="0.2">
      <c r="B13" s="1" t="s">
        <v>22</v>
      </c>
      <c r="C13" s="10">
        <v>377</v>
      </c>
      <c r="D13" s="10">
        <v>14</v>
      </c>
      <c r="E13" s="6">
        <f t="shared" ref="E13" si="7">D13*C13</f>
        <v>5278</v>
      </c>
      <c r="F13" s="10">
        <v>3503</v>
      </c>
      <c r="G13" s="12">
        <f>(F13/1904)^(1/($C$30-$B$30))-1</f>
        <v>0.22534316069727423</v>
      </c>
      <c r="H13" s="10">
        <v>-259</v>
      </c>
      <c r="I13" s="6">
        <f t="shared" ref="I13" si="8">H13/C13</f>
        <v>-0.6870026525198939</v>
      </c>
      <c r="J13" s="7">
        <f t="shared" ref="J13" si="9">I13/D13</f>
        <v>-4.9071618037135278E-2</v>
      </c>
      <c r="K13" s="8">
        <f>E13/F13</f>
        <v>1.5067085355409648</v>
      </c>
      <c r="L13" s="8">
        <f>E13/H13</f>
        <v>-20.378378378378379</v>
      </c>
    </row>
    <row r="14" spans="1:12" x14ac:dyDescent="0.2">
      <c r="B14" s="1" t="s">
        <v>3</v>
      </c>
      <c r="C14" s="10">
        <v>413</v>
      </c>
      <c r="D14" s="10">
        <v>256</v>
      </c>
      <c r="E14" s="6">
        <f t="shared" si="1"/>
        <v>105728</v>
      </c>
      <c r="F14" s="10">
        <v>23769</v>
      </c>
      <c r="G14" s="11">
        <f>(F14/12868)^(1/($C$28-$B$28))-1</f>
        <v>0.13057654594156753</v>
      </c>
      <c r="H14" s="10">
        <v>7130</v>
      </c>
      <c r="I14" s="6">
        <f t="shared" si="6"/>
        <v>17.263922518159806</v>
      </c>
      <c r="J14" s="7">
        <f t="shared" si="0"/>
        <v>6.7437197336561741E-2</v>
      </c>
      <c r="K14" s="8">
        <f>E14/F14</f>
        <v>4.448146745761286</v>
      </c>
      <c r="L14" s="8">
        <f>E14/H14</f>
        <v>14.828611500701262</v>
      </c>
    </row>
    <row r="15" spans="1:12" x14ac:dyDescent="0.2">
      <c r="C15" s="6"/>
      <c r="D15" s="6"/>
      <c r="E15" s="6"/>
      <c r="F15" s="6"/>
      <c r="G15" s="6"/>
      <c r="H15" s="6"/>
      <c r="I15" s="6"/>
      <c r="J15" s="7"/>
      <c r="K15" s="8"/>
      <c r="L15" s="8"/>
    </row>
    <row r="16" spans="1:12" x14ac:dyDescent="0.2">
      <c r="B16" s="1" t="s">
        <v>24</v>
      </c>
      <c r="C16" s="6"/>
      <c r="D16" s="6"/>
      <c r="E16" s="6"/>
      <c r="F16" s="6"/>
      <c r="G16" s="6"/>
      <c r="H16" s="6"/>
      <c r="I16" s="6"/>
      <c r="J16" s="7"/>
      <c r="K16" s="8"/>
      <c r="L16" s="8"/>
    </row>
    <row r="17" spans="2:16" x14ac:dyDescent="0.2">
      <c r="C17" s="6"/>
      <c r="D17" s="6"/>
      <c r="E17" s="6"/>
      <c r="F17" s="6"/>
      <c r="G17" s="6"/>
      <c r="H17" s="6"/>
      <c r="I17" s="6"/>
      <c r="J17" s="7"/>
      <c r="K17" s="8"/>
      <c r="L17" s="8"/>
    </row>
    <row r="18" spans="2:16" x14ac:dyDescent="0.2">
      <c r="B18" s="1" t="s">
        <v>4</v>
      </c>
      <c r="C18" s="10" t="s">
        <v>18</v>
      </c>
      <c r="D18" s="10" t="s">
        <v>18</v>
      </c>
      <c r="E18" s="6">
        <v>850000</v>
      </c>
      <c r="F18" s="10">
        <v>25000</v>
      </c>
      <c r="G18" s="10" t="s">
        <v>18</v>
      </c>
      <c r="H18" s="10" t="s">
        <v>18</v>
      </c>
      <c r="I18" s="6" t="e">
        <f>H18/C18</f>
        <v>#VALUE!</v>
      </c>
      <c r="J18" s="7" t="e">
        <f t="shared" si="0"/>
        <v>#VALUE!</v>
      </c>
      <c r="K18" s="8">
        <f>E18/F18</f>
        <v>34</v>
      </c>
      <c r="L18" s="8" t="e">
        <f>E18/H18</f>
        <v>#VALUE!</v>
      </c>
      <c r="M18" s="1" t="s">
        <v>23</v>
      </c>
    </row>
    <row r="19" spans="2:16" x14ac:dyDescent="0.2">
      <c r="B19" s="1" t="s">
        <v>5</v>
      </c>
      <c r="C19" s="10" t="s">
        <v>18</v>
      </c>
      <c r="D19" s="10" t="s">
        <v>18</v>
      </c>
      <c r="E19" s="6">
        <v>900000</v>
      </c>
      <c r="F19" s="10">
        <v>45000</v>
      </c>
      <c r="G19" s="10" t="s">
        <v>18</v>
      </c>
      <c r="H19" s="10" t="s">
        <v>18</v>
      </c>
      <c r="I19" s="6" t="e">
        <f>H19/C19</f>
        <v>#VALUE!</v>
      </c>
      <c r="J19" s="7" t="e">
        <f t="shared" si="0"/>
        <v>#VALUE!</v>
      </c>
      <c r="K19" s="8">
        <f t="shared" ref="K19:K22" si="10">E19/F19</f>
        <v>20</v>
      </c>
      <c r="L19" s="8" t="e">
        <f t="shared" ref="L19:L22" si="11">E19/H19</f>
        <v>#VALUE!</v>
      </c>
      <c r="M19" s="1" t="s">
        <v>23</v>
      </c>
    </row>
    <row r="20" spans="2:16" x14ac:dyDescent="0.2">
      <c r="B20" s="1" t="s">
        <v>19</v>
      </c>
      <c r="C20" s="10" t="s">
        <v>18</v>
      </c>
      <c r="D20" s="10" t="s">
        <v>18</v>
      </c>
      <c r="E20" s="6">
        <v>150000</v>
      </c>
      <c r="F20" s="10">
        <v>5000</v>
      </c>
      <c r="G20" s="10" t="s">
        <v>18</v>
      </c>
      <c r="H20" s="10" t="s">
        <v>18</v>
      </c>
      <c r="I20" s="6" t="e">
        <f>H20/C20</f>
        <v>#VALUE!</v>
      </c>
      <c r="J20" s="7" t="e">
        <f t="shared" ref="J20" si="12">I20/D20</f>
        <v>#VALUE!</v>
      </c>
      <c r="K20" s="8">
        <f t="shared" ref="K20" si="13">E20/F20</f>
        <v>30</v>
      </c>
      <c r="L20" s="8" t="e">
        <f t="shared" ref="L20" si="14">E20/H20</f>
        <v>#VALUE!</v>
      </c>
      <c r="M20" s="1" t="s">
        <v>23</v>
      </c>
    </row>
    <row r="21" spans="2:16" x14ac:dyDescent="0.2">
      <c r="B21" s="1" t="s">
        <v>6</v>
      </c>
      <c r="C21" s="10" t="s">
        <v>18</v>
      </c>
      <c r="D21" s="10" t="s">
        <v>18</v>
      </c>
      <c r="E21" s="6">
        <v>160000</v>
      </c>
      <c r="F21" s="10">
        <v>20000</v>
      </c>
      <c r="G21" s="10" t="s">
        <v>18</v>
      </c>
      <c r="H21" s="10" t="s">
        <v>18</v>
      </c>
      <c r="I21" s="6" t="e">
        <f t="shared" ref="I21:I22" si="15">H21/C21</f>
        <v>#VALUE!</v>
      </c>
      <c r="J21" s="7" t="e">
        <f t="shared" si="0"/>
        <v>#VALUE!</v>
      </c>
      <c r="K21" s="8">
        <f t="shared" si="10"/>
        <v>8</v>
      </c>
      <c r="L21" s="8" t="e">
        <f t="shared" si="11"/>
        <v>#VALUE!</v>
      </c>
      <c r="M21" s="1" t="s">
        <v>35</v>
      </c>
      <c r="P21" s="1" t="s">
        <v>36</v>
      </c>
    </row>
    <row r="22" spans="2:16" x14ac:dyDescent="0.2">
      <c r="B22" s="1" t="s">
        <v>7</v>
      </c>
      <c r="C22" s="10" t="s">
        <v>18</v>
      </c>
      <c r="D22" s="10" t="s">
        <v>18</v>
      </c>
      <c r="E22" s="6">
        <v>100000</v>
      </c>
      <c r="F22" s="10">
        <v>6000</v>
      </c>
      <c r="G22" s="10" t="s">
        <v>18</v>
      </c>
      <c r="H22" s="10" t="s">
        <v>18</v>
      </c>
      <c r="I22" s="6" t="e">
        <f t="shared" si="15"/>
        <v>#VALUE!</v>
      </c>
      <c r="J22" s="7" t="e">
        <f t="shared" si="0"/>
        <v>#VALUE!</v>
      </c>
      <c r="K22" s="8">
        <f t="shared" si="10"/>
        <v>16.666666666666668</v>
      </c>
      <c r="L22" s="8" t="e">
        <f t="shared" si="11"/>
        <v>#VALUE!</v>
      </c>
      <c r="M22" s="1" t="s">
        <v>35</v>
      </c>
      <c r="P22" s="1" t="s">
        <v>36</v>
      </c>
    </row>
    <row r="23" spans="2:16" x14ac:dyDescent="0.2">
      <c r="B23" s="1" t="s">
        <v>8</v>
      </c>
      <c r="C23" s="10" t="s">
        <v>18</v>
      </c>
      <c r="D23" s="10" t="s">
        <v>18</v>
      </c>
      <c r="E23" s="6">
        <v>50000</v>
      </c>
      <c r="F23" s="10">
        <v>4000</v>
      </c>
      <c r="G23" s="10" t="s">
        <v>18</v>
      </c>
      <c r="H23" s="10" t="s">
        <v>18</v>
      </c>
      <c r="I23" s="6" t="e">
        <f>H23/C23</f>
        <v>#VALUE!</v>
      </c>
      <c r="J23" s="7" t="e">
        <f t="shared" si="0"/>
        <v>#VALUE!</v>
      </c>
      <c r="K23" s="8">
        <f t="shared" ref="K23:K24" si="16">E23/F23</f>
        <v>12.5</v>
      </c>
      <c r="L23" s="8" t="e">
        <f t="shared" ref="L23:L24" si="17">E23/H23</f>
        <v>#VALUE!</v>
      </c>
      <c r="M23" s="1" t="s">
        <v>35</v>
      </c>
    </row>
    <row r="24" spans="2:16" x14ac:dyDescent="0.2">
      <c r="B24" s="1" t="s">
        <v>13</v>
      </c>
      <c r="C24" s="10" t="s">
        <v>18</v>
      </c>
      <c r="D24" s="10" t="s">
        <v>18</v>
      </c>
      <c r="E24" s="6">
        <v>2000000</v>
      </c>
      <c r="F24" s="10">
        <v>20000</v>
      </c>
      <c r="G24" s="10" t="s">
        <v>18</v>
      </c>
      <c r="H24" s="10" t="s">
        <v>18</v>
      </c>
      <c r="I24" s="6" t="e">
        <f>H24/C24</f>
        <v>#VALUE!</v>
      </c>
      <c r="J24" s="7" t="e">
        <f t="shared" si="0"/>
        <v>#VALUE!</v>
      </c>
      <c r="K24" s="8">
        <f t="shared" si="16"/>
        <v>100</v>
      </c>
      <c r="L24" s="8" t="e">
        <f t="shared" si="17"/>
        <v>#VALUE!</v>
      </c>
      <c r="M24" s="1" t="s">
        <v>35</v>
      </c>
    </row>
    <row r="25" spans="2:16" x14ac:dyDescent="0.2"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2:16" hidden="1" x14ac:dyDescent="0.2"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2:16" hidden="1" x14ac:dyDescent="0.2">
      <c r="B27" s="13" t="s">
        <v>33</v>
      </c>
      <c r="C27" s="16"/>
      <c r="D27" s="4"/>
      <c r="E27" s="4"/>
      <c r="F27" s="4"/>
      <c r="G27" s="4"/>
      <c r="H27" s="4"/>
      <c r="I27" s="4"/>
      <c r="J27" s="4"/>
      <c r="K27" s="4"/>
      <c r="L27" s="4"/>
    </row>
    <row r="28" spans="2:16" hidden="1" x14ac:dyDescent="0.2">
      <c r="B28" s="13">
        <v>2020</v>
      </c>
      <c r="C28" s="13">
        <v>2025</v>
      </c>
      <c r="D28" s="4"/>
      <c r="E28" s="4"/>
      <c r="F28" s="4"/>
      <c r="G28" s="4"/>
      <c r="H28" s="4"/>
      <c r="I28" s="4"/>
      <c r="J28" s="4"/>
      <c r="K28" s="4"/>
      <c r="L28" s="4"/>
    </row>
    <row r="29" spans="2:16" hidden="1" x14ac:dyDescent="0.2">
      <c r="B29" s="13" t="s">
        <v>34</v>
      </c>
      <c r="C29" s="13"/>
      <c r="D29" s="4"/>
      <c r="E29" s="4"/>
      <c r="F29" s="4"/>
      <c r="G29" s="4"/>
      <c r="H29" s="4"/>
      <c r="I29" s="4"/>
      <c r="J29" s="4"/>
      <c r="K29" s="4"/>
      <c r="L29" s="4"/>
    </row>
    <row r="30" spans="2:16" hidden="1" x14ac:dyDescent="0.2">
      <c r="B30" s="13">
        <v>2022</v>
      </c>
      <c r="C30" s="13">
        <v>2025</v>
      </c>
      <c r="D30" s="4"/>
      <c r="E30" s="4"/>
      <c r="F30" s="4"/>
      <c r="G30" s="4"/>
      <c r="H30" s="4"/>
      <c r="I30" s="4"/>
      <c r="J30" s="4"/>
      <c r="K30" s="4"/>
      <c r="L30" s="4"/>
    </row>
    <row r="31" spans="2:16" hidden="1" x14ac:dyDescent="0.2"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2:16" x14ac:dyDescent="0.2"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3:12" x14ac:dyDescent="0.2"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3:12" x14ac:dyDescent="0.2"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3:12" x14ac:dyDescent="0.2"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3:12" x14ac:dyDescent="0.2"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3:12" x14ac:dyDescent="0.2"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3:12" x14ac:dyDescent="0.2"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3:12" x14ac:dyDescent="0.2"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3:12" x14ac:dyDescent="0.2"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3:12" x14ac:dyDescent="0.2"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hyperlinks>
    <hyperlink ref="B3" r:id="rId1" xr:uid="{14523316-DF08-AD4B-855E-2E3437B01B3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IPOs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2026-05-08T09:59:05Z</dcterms:created>
  <dcterms:modified xsi:type="dcterms:W3CDTF">2026-05-09T09:49:12Z</dcterms:modified>
</cp:coreProperties>
</file>