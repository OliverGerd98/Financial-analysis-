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schuurmann/Desktop/"/>
    </mc:Choice>
  </mc:AlternateContent>
  <xr:revisionPtr revIDLastSave="0" documentId="13_ncr:1_{EE3823C8-BE28-014A-B143-293AF7E58451}" xr6:coauthVersionLast="47" xr6:coauthVersionMax="47" xr10:uidLastSave="{00000000-0000-0000-0000-000000000000}"/>
  <bookViews>
    <workbookView xWindow="28800" yWindow="600" windowWidth="38400" windowHeight="21000" xr2:uid="{8BC15E63-952E-2C41-B6E2-E5B66AF00FAD}"/>
  </bookViews>
  <sheets>
    <sheet name="5Y LBO" sheetId="1" r:id="rId1"/>
    <sheet name="FYI (Q1 26 EBITDA COMP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K39" i="1"/>
  <c r="M13" i="1"/>
  <c r="M94" i="1"/>
  <c r="M93" i="1"/>
  <c r="M91" i="1"/>
  <c r="M89" i="1"/>
  <c r="M88" i="1"/>
  <c r="M87" i="1"/>
  <c r="M85" i="1"/>
  <c r="K74" i="1"/>
  <c r="J74" i="1"/>
  <c r="I74" i="1"/>
  <c r="I43" i="1"/>
  <c r="I49" i="1"/>
  <c r="M47" i="1"/>
  <c r="L47" i="1"/>
  <c r="K47" i="1"/>
  <c r="J47" i="1"/>
  <c r="I47" i="1"/>
  <c r="H60" i="1"/>
  <c r="H56" i="1"/>
  <c r="H57" i="1" s="1"/>
  <c r="I57" i="1" s="1"/>
  <c r="H53" i="1"/>
  <c r="H54" i="1" s="1"/>
  <c r="I54" i="1" s="1"/>
  <c r="H35" i="1"/>
  <c r="H36" i="1" s="1"/>
  <c r="I36" i="1" s="1"/>
  <c r="J36" i="1" s="1"/>
  <c r="K36" i="1" s="1"/>
  <c r="L36" i="1" s="1"/>
  <c r="M36" i="1" s="1"/>
  <c r="H32" i="1"/>
  <c r="I32" i="1" s="1"/>
  <c r="K21" i="1"/>
  <c r="K24" i="1"/>
  <c r="L24" i="1" s="1"/>
  <c r="E21" i="1"/>
  <c r="G21" i="1" s="1"/>
  <c r="G23" i="1" s="1"/>
  <c r="F21" i="1"/>
  <c r="F23" i="1" s="1"/>
  <c r="E7" i="1"/>
  <c r="E27" i="1" s="1"/>
  <c r="M86" i="1"/>
  <c r="E13" i="1"/>
  <c r="I33" i="1" l="1"/>
  <c r="J32" i="1"/>
  <c r="I35" i="1"/>
  <c r="J54" i="1"/>
  <c r="I53" i="1"/>
  <c r="I65" i="1" s="1"/>
  <c r="J57" i="1"/>
  <c r="I56" i="1"/>
  <c r="I58" i="1" s="1"/>
  <c r="I67" i="1" s="1"/>
  <c r="K27" i="1"/>
  <c r="M24" i="1" s="1"/>
  <c r="M21" i="1"/>
  <c r="L21" i="1"/>
  <c r="E9" i="1"/>
  <c r="K22" i="1" s="1"/>
  <c r="H38" i="1"/>
  <c r="H39" i="1" s="1"/>
  <c r="E23" i="1"/>
  <c r="E25" i="1" s="1"/>
  <c r="I72" i="1"/>
  <c r="K57" i="1" l="1"/>
  <c r="J56" i="1"/>
  <c r="J58" i="1" s="1"/>
  <c r="J67" i="1" s="1"/>
  <c r="I73" i="1"/>
  <c r="I41" i="1" s="1"/>
  <c r="G25" i="1"/>
  <c r="G27" i="1" s="1"/>
  <c r="F25" i="1"/>
  <c r="F27" i="1" s="1"/>
  <c r="K54" i="1"/>
  <c r="J53" i="1"/>
  <c r="J65" i="1" s="1"/>
  <c r="I38" i="1"/>
  <c r="L22" i="1"/>
  <c r="M22" i="1"/>
  <c r="M27" i="1" s="1"/>
  <c r="J35" i="1"/>
  <c r="K32" i="1"/>
  <c r="J33" i="1"/>
  <c r="L27" i="1"/>
  <c r="I39" i="1" l="1"/>
  <c r="K53" i="1"/>
  <c r="K65" i="1" s="1"/>
  <c r="L54" i="1"/>
  <c r="J38" i="1"/>
  <c r="J39" i="1" s="1"/>
  <c r="L32" i="1"/>
  <c r="K33" i="1"/>
  <c r="K35" i="1"/>
  <c r="K38" i="1" s="1"/>
  <c r="K56" i="1"/>
  <c r="K58" i="1" s="1"/>
  <c r="K67" i="1" s="1"/>
  <c r="L57" i="1"/>
  <c r="L56" i="1" l="1"/>
  <c r="L58" i="1" s="1"/>
  <c r="L67" i="1" s="1"/>
  <c r="M57" i="1"/>
  <c r="M54" i="1"/>
  <c r="L53" i="1"/>
  <c r="L65" i="1" s="1"/>
  <c r="M32" i="1"/>
  <c r="L33" i="1"/>
  <c r="L35" i="1"/>
  <c r="L38" i="1" s="1"/>
  <c r="L39" i="1" s="1"/>
  <c r="I44" i="1"/>
  <c r="I46" i="1"/>
  <c r="I50" i="1" l="1"/>
  <c r="I64" i="1"/>
  <c r="M35" i="1"/>
  <c r="M33" i="1"/>
  <c r="M53" i="1"/>
  <c r="M65" i="1" s="1"/>
  <c r="M56" i="1"/>
  <c r="M58" i="1" s="1"/>
  <c r="M67" i="1" s="1"/>
  <c r="M38" i="1" l="1"/>
  <c r="M39" i="1" s="1"/>
  <c r="M52" i="1" l="1"/>
  <c r="M63" i="1" s="1"/>
  <c r="M70" i="1" s="1"/>
  <c r="L52" i="1"/>
  <c r="L63" i="1" s="1"/>
  <c r="L70" i="1" s="1"/>
  <c r="K52" i="1"/>
  <c r="K63" i="1" s="1"/>
  <c r="K70" i="1" s="1"/>
  <c r="J52" i="1"/>
  <c r="J63" i="1" s="1"/>
  <c r="J70" i="1" s="1"/>
  <c r="I52" i="1"/>
  <c r="I63" i="1" s="1"/>
  <c r="I70" i="1" s="1"/>
  <c r="H52" i="1"/>
  <c r="H63" i="1" s="1"/>
  <c r="H70" i="1" s="1"/>
  <c r="H61" i="1"/>
  <c r="I61" i="1" s="1"/>
  <c r="J61" i="1" l="1"/>
  <c r="I60" i="1"/>
  <c r="I66" i="1" s="1"/>
  <c r="I68" i="1" s="1"/>
  <c r="I75" i="1" s="1"/>
  <c r="J72" i="1" s="1"/>
  <c r="J73" i="1" l="1"/>
  <c r="J41" i="1" s="1"/>
  <c r="J43" i="1" s="1"/>
  <c r="J75" i="1"/>
  <c r="J46" i="1"/>
  <c r="J44" i="1"/>
  <c r="J49" i="1"/>
  <c r="K61" i="1"/>
  <c r="J60" i="1"/>
  <c r="J66" i="1" s="1"/>
  <c r="L61" i="1" l="1"/>
  <c r="K60" i="1"/>
  <c r="K66" i="1" s="1"/>
  <c r="J50" i="1"/>
  <c r="J64" i="1"/>
  <c r="J68" i="1" s="1"/>
  <c r="K72" i="1" l="1"/>
  <c r="K73" i="1" s="1"/>
  <c r="K41" i="1" s="1"/>
  <c r="K43" i="1" s="1"/>
  <c r="M61" i="1"/>
  <c r="M60" i="1" s="1"/>
  <c r="M66" i="1" s="1"/>
  <c r="L60" i="1"/>
  <c r="L66" i="1" s="1"/>
  <c r="K46" i="1" l="1"/>
  <c r="K49" i="1" s="1"/>
  <c r="K44" i="1"/>
  <c r="K64" i="1" l="1"/>
  <c r="K68" i="1" s="1"/>
  <c r="K50" i="1"/>
  <c r="K75" i="1" l="1"/>
  <c r="L72" i="1" s="1"/>
  <c r="L73" i="1" s="1"/>
  <c r="L41" i="1" s="1"/>
  <c r="L43" i="1" s="1"/>
  <c r="L46" i="1" l="1"/>
  <c r="L49" i="1" s="1"/>
  <c r="L44" i="1"/>
  <c r="L64" i="1" l="1"/>
  <c r="L68" i="1" s="1"/>
  <c r="L74" i="1" s="1"/>
  <c r="L50" i="1"/>
  <c r="L75" i="1" l="1"/>
  <c r="M72" i="1" s="1"/>
  <c r="M73" i="1" l="1"/>
  <c r="M41" i="1" s="1"/>
  <c r="M43" i="1" s="1"/>
  <c r="M44" i="1" l="1"/>
  <c r="M46" i="1"/>
  <c r="M49" i="1" s="1"/>
  <c r="M64" i="1" l="1"/>
  <c r="M68" i="1" s="1"/>
  <c r="M74" i="1" s="1"/>
  <c r="M50" i="1"/>
  <c r="M75" i="1" l="1"/>
</calcChain>
</file>

<file path=xl/sharedStrings.xml><?xml version="1.0" encoding="utf-8"?>
<sst xmlns="http://schemas.openxmlformats.org/spreadsheetml/2006/main" count="151" uniqueCount="81">
  <si>
    <t>Assumptions</t>
  </si>
  <si>
    <t xml:space="preserve">Entry ($MM) </t>
  </si>
  <si>
    <t xml:space="preserve">Financials </t>
  </si>
  <si>
    <t>Capital Structure</t>
  </si>
  <si>
    <t xml:space="preserve">Amount </t>
  </si>
  <si>
    <t>Cost</t>
  </si>
  <si>
    <t xml:space="preserve">LTM EBITDA </t>
  </si>
  <si>
    <t xml:space="preserve">LTM Financials </t>
  </si>
  <si>
    <t>Bank Debt</t>
  </si>
  <si>
    <t>EBITDA Multiple</t>
  </si>
  <si>
    <t xml:space="preserve">Revenue </t>
  </si>
  <si>
    <t xml:space="preserve">Senior Notes </t>
  </si>
  <si>
    <t xml:space="preserve">Enterprise Value </t>
  </si>
  <si>
    <t xml:space="preserve">EBITDA </t>
  </si>
  <si>
    <t>D&amp;A</t>
  </si>
  <si>
    <t xml:space="preserve">For Reference </t>
  </si>
  <si>
    <t xml:space="preserve">Equity Value </t>
  </si>
  <si>
    <t>CapEx</t>
  </si>
  <si>
    <t>IRR</t>
  </si>
  <si>
    <t>NWC</t>
  </si>
  <si>
    <t xml:space="preserve">Fees &amp; Expenses </t>
  </si>
  <si>
    <t>Operating Assumptions</t>
  </si>
  <si>
    <t>Exit ($MM)</t>
  </si>
  <si>
    <t xml:space="preserve">Revenue Growth </t>
  </si>
  <si>
    <t xml:space="preserve">YoY margin expansion </t>
  </si>
  <si>
    <t xml:space="preserve">Tax Rate </t>
  </si>
  <si>
    <t xml:space="preserve">Sources &amp; Uses </t>
  </si>
  <si>
    <t xml:space="preserve">Sources </t>
  </si>
  <si>
    <t xml:space="preserve">Uses </t>
  </si>
  <si>
    <t>xEBITDA</t>
  </si>
  <si>
    <t xml:space="preserve">%Capital </t>
  </si>
  <si>
    <t xml:space="preserve">Bank Debt </t>
  </si>
  <si>
    <t xml:space="preserve">Debt Retirement </t>
  </si>
  <si>
    <t xml:space="preserve">Equity Payment </t>
  </si>
  <si>
    <t xml:space="preserve">Total Debt </t>
  </si>
  <si>
    <t xml:space="preserve">Sponsors Equity </t>
  </si>
  <si>
    <t xml:space="preserve">Total Souces </t>
  </si>
  <si>
    <t xml:space="preserve">Total Uses </t>
  </si>
  <si>
    <t xml:space="preserve">Operating Model </t>
  </si>
  <si>
    <t>Y0</t>
  </si>
  <si>
    <t>Y1</t>
  </si>
  <si>
    <t>Y2</t>
  </si>
  <si>
    <t>Y3</t>
  </si>
  <si>
    <t>Y4</t>
  </si>
  <si>
    <t>Y5</t>
  </si>
  <si>
    <t>EXIT</t>
  </si>
  <si>
    <t xml:space="preserve">% growth </t>
  </si>
  <si>
    <t>EBITDA</t>
  </si>
  <si>
    <t>% of sales</t>
  </si>
  <si>
    <t>EBIT</t>
  </si>
  <si>
    <t xml:space="preserve">Interest </t>
  </si>
  <si>
    <t>EBT</t>
  </si>
  <si>
    <t xml:space="preserve">Taxes </t>
  </si>
  <si>
    <t>% tax rate</t>
  </si>
  <si>
    <t xml:space="preserve">Net Income </t>
  </si>
  <si>
    <t xml:space="preserve">% of sales </t>
  </si>
  <si>
    <t xml:space="preserve">Cash Flow Items </t>
  </si>
  <si>
    <t xml:space="preserve">D&amp;A </t>
  </si>
  <si>
    <t xml:space="preserve">Net Working Capital </t>
  </si>
  <si>
    <t xml:space="preserve">Change in NWC </t>
  </si>
  <si>
    <t xml:space="preserve">CapEx </t>
  </si>
  <si>
    <t xml:space="preserve">Leverd Cash Flow </t>
  </si>
  <si>
    <t>Change in NWC</t>
  </si>
  <si>
    <t>Levered Free Cashflow</t>
  </si>
  <si>
    <t xml:space="preserve">Debt Schedule </t>
  </si>
  <si>
    <t xml:space="preserve">Beginning Balance </t>
  </si>
  <si>
    <t xml:space="preserve">Paydown </t>
  </si>
  <si>
    <t xml:space="preserve">Ending Balance </t>
  </si>
  <si>
    <t>LTM EBITDA at Exit</t>
  </si>
  <si>
    <t>Exit Muliple</t>
  </si>
  <si>
    <t>Enterprise Value</t>
  </si>
  <si>
    <t>Net Debt</t>
  </si>
  <si>
    <t xml:space="preserve">Sponsors Equity Value </t>
  </si>
  <si>
    <t>Sponsors Equity at Entry</t>
  </si>
  <si>
    <t>MOIC</t>
  </si>
  <si>
    <t xml:space="preserve">Existing Net Debt </t>
  </si>
  <si>
    <t>EBITDA ENTRY = EXIT</t>
  </si>
  <si>
    <t xml:space="preserve"> -&gt; Fill in</t>
  </si>
  <si>
    <t xml:space="preserve"> -&gt;</t>
  </si>
  <si>
    <t>x</t>
  </si>
  <si>
    <t>Bank often 3-4x EBITDA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</si>
</sst>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x0.0"/>
    <numFmt numFmtId="165" formatCode="0.0%"/>
    <numFmt numFmtId="166" formatCode="0.0"/>
  </numFmts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u/>
      <sz val="12"/>
      <color theme="0"/>
      <name val="Aptos Narrow"/>
      <family val="2"/>
      <scheme val="minor"/>
    </font>
    <font>
      <i/>
      <sz val="12"/>
      <color theme="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Dashed">
        <color theme="0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 applyAlignment="1">
      <alignment horizontal="right"/>
    </xf>
    <xf numFmtId="0" fontId="3" fillId="3" borderId="0" xfId="0" applyFont="1" applyFill="1"/>
    <xf numFmtId="0" fontId="4" fillId="3" borderId="0" xfId="0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3" fontId="1" fillId="3" borderId="0" xfId="0" applyNumberFormat="1" applyFont="1" applyFill="1"/>
    <xf numFmtId="0" fontId="4" fillId="3" borderId="0" xfId="0" applyFont="1" applyFill="1" applyAlignment="1">
      <alignment horizontal="right"/>
    </xf>
    <xf numFmtId="166" fontId="1" fillId="3" borderId="0" xfId="0" applyNumberFormat="1" applyFont="1" applyFill="1"/>
    <xf numFmtId="0" fontId="2" fillId="4" borderId="0" xfId="0" applyFont="1" applyFill="1" applyAlignment="1">
      <alignment horizontal="center"/>
    </xf>
    <xf numFmtId="3" fontId="2" fillId="3" borderId="0" xfId="0" applyNumberFormat="1" applyFont="1" applyFill="1" applyAlignment="1">
      <alignment horizontal="right"/>
    </xf>
    <xf numFmtId="3" fontId="2" fillId="3" borderId="0" xfId="0" applyNumberFormat="1" applyFont="1" applyFill="1"/>
    <xf numFmtId="0" fontId="1" fillId="3" borderId="0" xfId="0" applyFont="1" applyFill="1" applyAlignment="1">
      <alignment horizontal="left" indent="1"/>
    </xf>
    <xf numFmtId="0" fontId="1" fillId="3" borderId="0" xfId="0" applyFont="1" applyFill="1" applyAlignment="1">
      <alignment horizontal="left"/>
    </xf>
    <xf numFmtId="0" fontId="2" fillId="5" borderId="0" xfId="0" applyFont="1" applyFill="1"/>
    <xf numFmtId="0" fontId="2" fillId="5" borderId="0" xfId="0" applyFont="1" applyFill="1" applyAlignment="1">
      <alignment horizontal="right"/>
    </xf>
    <xf numFmtId="0" fontId="2" fillId="3" borderId="0" xfId="0" applyFont="1" applyFill="1"/>
    <xf numFmtId="0" fontId="2" fillId="3" borderId="0" xfId="0" applyFont="1" applyFill="1" applyAlignment="1">
      <alignment horizontal="right"/>
    </xf>
    <xf numFmtId="0" fontId="2" fillId="4" borderId="0" xfId="0" applyFont="1" applyFill="1"/>
    <xf numFmtId="0" fontId="3" fillId="3" borderId="0" xfId="0" applyFont="1" applyFill="1" applyAlignment="1">
      <alignment horizontal="left" indent="1"/>
    </xf>
    <xf numFmtId="0" fontId="5" fillId="2" borderId="0" xfId="0" applyFont="1" applyFill="1"/>
    <xf numFmtId="0" fontId="1" fillId="3" borderId="0" xfId="0" applyFont="1" applyFill="1" applyAlignment="1">
      <alignment horizontal="right"/>
    </xf>
    <xf numFmtId="1" fontId="1" fillId="3" borderId="0" xfId="0" applyNumberFormat="1" applyFont="1" applyFill="1"/>
    <xf numFmtId="0" fontId="2" fillId="2" borderId="1" xfId="0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65" fontId="1" fillId="3" borderId="1" xfId="0" applyNumberFormat="1" applyFont="1" applyFill="1" applyBorder="1"/>
    <xf numFmtId="3" fontId="1" fillId="3" borderId="1" xfId="0" applyNumberFormat="1" applyFont="1" applyFill="1" applyBorder="1"/>
    <xf numFmtId="0" fontId="1" fillId="3" borderId="1" xfId="0" applyFont="1" applyFill="1" applyBorder="1"/>
    <xf numFmtId="1" fontId="1" fillId="3" borderId="1" xfId="0" applyNumberFormat="1" applyFont="1" applyFill="1" applyBorder="1"/>
    <xf numFmtId="3" fontId="2" fillId="3" borderId="1" xfId="0" applyNumberFormat="1" applyFont="1" applyFill="1" applyBorder="1"/>
    <xf numFmtId="3" fontId="3" fillId="3" borderId="1" xfId="0" applyNumberFormat="1" applyFont="1" applyFill="1" applyBorder="1"/>
    <xf numFmtId="3" fontId="3" fillId="3" borderId="0" xfId="0" applyNumberFormat="1" applyFont="1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3" fontId="3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 applyAlignment="1">
      <alignment horizontal="right"/>
    </xf>
    <xf numFmtId="164" fontId="2" fillId="5" borderId="0" xfId="0" applyNumberFormat="1" applyFont="1" applyFill="1"/>
    <xf numFmtId="165" fontId="2" fillId="5" borderId="0" xfId="0" applyNumberFormat="1" applyFont="1" applyFill="1"/>
    <xf numFmtId="165" fontId="1" fillId="5" borderId="0" xfId="0" applyNumberFormat="1" applyFont="1" applyFill="1"/>
    <xf numFmtId="164" fontId="1" fillId="5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521522</xdr:colOff>
      <xdr:row>49</xdr:row>
      <xdr:rowOff>101600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82F06DE8-36C7-451B-15FF-0D0FC5FA2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649022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2111E-9427-7F4F-9C4E-6281DAB68BC2}">
  <dimension ref="B1:N94"/>
  <sheetViews>
    <sheetView tabSelected="1" zoomScale="191" zoomScaleNormal="191" workbookViewId="0">
      <selection activeCell="B22" sqref="B22"/>
    </sheetView>
  </sheetViews>
  <sheetFormatPr baseColWidth="10" defaultRowHeight="16" x14ac:dyDescent="0.2"/>
  <cols>
    <col min="1" max="1" width="4.6640625" style="3" customWidth="1"/>
    <col min="2" max="13" width="10.83203125" style="3"/>
    <col min="14" max="14" width="4.1640625" style="3" customWidth="1"/>
    <col min="15" max="17" width="10.83203125" style="3"/>
    <col min="18" max="18" width="11" style="3" customWidth="1"/>
    <col min="19" max="16384" width="10.83203125" style="3"/>
  </cols>
  <sheetData>
    <row r="1" spans="2:13" ht="15" customHeight="1" x14ac:dyDescent="0.2"/>
    <row r="2" spans="2:13" x14ac:dyDescent="0.2">
      <c r="B2" s="1" t="s">
        <v>0</v>
      </c>
      <c r="C2" s="2"/>
      <c r="D2" s="23" t="s">
        <v>76</v>
      </c>
      <c r="E2" s="23"/>
      <c r="F2" s="23" t="s">
        <v>77</v>
      </c>
      <c r="G2" s="2"/>
      <c r="H2" s="2"/>
      <c r="I2" s="2"/>
      <c r="J2" s="2"/>
      <c r="K2" s="2"/>
      <c r="L2" s="2"/>
      <c r="M2" s="2"/>
    </row>
    <row r="4" spans="2:13" x14ac:dyDescent="0.2">
      <c r="B4" s="1" t="s">
        <v>1</v>
      </c>
      <c r="C4" s="2"/>
      <c r="D4" s="2"/>
      <c r="E4" s="2"/>
      <c r="F4" s="1" t="s">
        <v>2</v>
      </c>
      <c r="G4" s="2"/>
      <c r="H4" s="2"/>
      <c r="I4" s="2"/>
      <c r="J4" s="1" t="s">
        <v>3</v>
      </c>
      <c r="K4" s="2"/>
      <c r="L4" s="4" t="s">
        <v>4</v>
      </c>
      <c r="M4" s="4" t="s">
        <v>5</v>
      </c>
    </row>
    <row r="5" spans="2:13" x14ac:dyDescent="0.2">
      <c r="B5" s="5" t="s">
        <v>6</v>
      </c>
      <c r="D5" s="24" t="s">
        <v>78</v>
      </c>
      <c r="E5" s="3">
        <v>250</v>
      </c>
      <c r="F5" s="6" t="s">
        <v>7</v>
      </c>
      <c r="J5" s="3" t="s">
        <v>8</v>
      </c>
      <c r="K5" s="24" t="s">
        <v>78</v>
      </c>
      <c r="L5" s="7">
        <v>6</v>
      </c>
      <c r="M5" s="8">
        <v>0.06</v>
      </c>
    </row>
    <row r="6" spans="2:13" x14ac:dyDescent="0.2">
      <c r="B6" s="5" t="s">
        <v>9</v>
      </c>
      <c r="D6" s="24" t="s">
        <v>78</v>
      </c>
      <c r="E6" s="7">
        <v>10</v>
      </c>
      <c r="F6" s="3" t="s">
        <v>10</v>
      </c>
      <c r="H6" s="24" t="s">
        <v>78</v>
      </c>
      <c r="I6" s="9">
        <v>1000</v>
      </c>
      <c r="J6" s="3" t="s">
        <v>11</v>
      </c>
      <c r="K6" s="24" t="s">
        <v>78</v>
      </c>
      <c r="L6" s="39" t="s">
        <v>79</v>
      </c>
      <c r="M6" s="40" t="s">
        <v>79</v>
      </c>
    </row>
    <row r="7" spans="2:13" x14ac:dyDescent="0.2">
      <c r="B7" s="5" t="s">
        <v>12</v>
      </c>
      <c r="E7" s="9">
        <f>E6*E5</f>
        <v>2500</v>
      </c>
      <c r="F7" s="3" t="s">
        <v>13</v>
      </c>
      <c r="H7" s="24" t="s">
        <v>78</v>
      </c>
      <c r="I7" s="9">
        <v>250</v>
      </c>
    </row>
    <row r="8" spans="2:13" x14ac:dyDescent="0.2">
      <c r="B8" s="5" t="s">
        <v>75</v>
      </c>
      <c r="D8" s="24" t="s">
        <v>78</v>
      </c>
      <c r="E8" s="9">
        <v>500</v>
      </c>
      <c r="F8" s="3" t="s">
        <v>14</v>
      </c>
      <c r="H8" s="24" t="s">
        <v>78</v>
      </c>
      <c r="I8" s="9">
        <v>50</v>
      </c>
      <c r="J8" s="19"/>
      <c r="L8" s="20"/>
      <c r="M8" s="20"/>
    </row>
    <row r="9" spans="2:13" x14ac:dyDescent="0.2">
      <c r="B9" s="5" t="s">
        <v>16</v>
      </c>
      <c r="E9" s="9">
        <f>E7-E8</f>
        <v>2000</v>
      </c>
      <c r="F9" s="3" t="s">
        <v>17</v>
      </c>
      <c r="H9" s="24" t="s">
        <v>78</v>
      </c>
      <c r="I9" s="9">
        <v>75</v>
      </c>
      <c r="M9" s="8"/>
    </row>
    <row r="10" spans="2:13" x14ac:dyDescent="0.2">
      <c r="B10" s="3" t="s">
        <v>20</v>
      </c>
      <c r="E10" s="9">
        <v>50</v>
      </c>
      <c r="F10" s="3" t="s">
        <v>19</v>
      </c>
      <c r="H10" s="24" t="s">
        <v>78</v>
      </c>
      <c r="I10" s="9">
        <v>100</v>
      </c>
    </row>
    <row r="11" spans="2:13" x14ac:dyDescent="0.2">
      <c r="E11" s="9"/>
    </row>
    <row r="12" spans="2:13" x14ac:dyDescent="0.2">
      <c r="B12" s="21" t="s">
        <v>22</v>
      </c>
      <c r="C12" s="2"/>
      <c r="D12" s="2"/>
      <c r="E12" s="2"/>
      <c r="F12" s="1" t="s">
        <v>21</v>
      </c>
      <c r="G12" s="2"/>
      <c r="H12" s="2"/>
      <c r="I12" s="2"/>
      <c r="J12" s="1" t="s">
        <v>15</v>
      </c>
      <c r="K12" s="2"/>
      <c r="L12" s="4"/>
      <c r="M12" s="4"/>
    </row>
    <row r="13" spans="2:13" x14ac:dyDescent="0.2">
      <c r="B13" s="5" t="s">
        <v>9</v>
      </c>
      <c r="E13" s="7">
        <f>E6</f>
        <v>10</v>
      </c>
      <c r="F13" s="3" t="s">
        <v>23</v>
      </c>
      <c r="H13" s="24" t="s">
        <v>78</v>
      </c>
      <c r="I13" s="8">
        <v>7.0000000000000007E-2</v>
      </c>
      <c r="J13" s="3" t="s">
        <v>18</v>
      </c>
      <c r="M13" s="43">
        <f>M94</f>
        <v>0.25954372639403367</v>
      </c>
    </row>
    <row r="14" spans="2:13" x14ac:dyDescent="0.2">
      <c r="B14" s="5"/>
      <c r="E14" s="7"/>
      <c r="F14" s="3" t="s">
        <v>24</v>
      </c>
      <c r="H14" s="24" t="s">
        <v>78</v>
      </c>
      <c r="I14" s="8">
        <v>0.01</v>
      </c>
      <c r="J14" s="3" t="s">
        <v>74</v>
      </c>
      <c r="M14" s="44">
        <f>M93</f>
        <v>3.170050972330972</v>
      </c>
    </row>
    <row r="15" spans="2:13" x14ac:dyDescent="0.2">
      <c r="F15" s="3" t="s">
        <v>25</v>
      </c>
      <c r="H15" s="24" t="s">
        <v>78</v>
      </c>
      <c r="I15" s="8">
        <v>0.21</v>
      </c>
    </row>
    <row r="17" spans="2:14" x14ac:dyDescent="0.2">
      <c r="B17" s="1" t="s">
        <v>26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9" spans="2:14" x14ac:dyDescent="0.2">
      <c r="B19" s="1" t="s">
        <v>27</v>
      </c>
      <c r="C19" s="2" t="s">
        <v>80</v>
      </c>
      <c r="D19" s="2"/>
      <c r="E19" s="2"/>
      <c r="F19" s="2"/>
      <c r="G19" s="2"/>
      <c r="H19" s="1" t="s">
        <v>28</v>
      </c>
      <c r="I19" s="2"/>
      <c r="J19" s="2"/>
      <c r="K19" s="2"/>
      <c r="L19" s="2"/>
      <c r="M19" s="2"/>
    </row>
    <row r="20" spans="2:14" x14ac:dyDescent="0.2">
      <c r="E20" s="10" t="s">
        <v>4</v>
      </c>
      <c r="F20" s="10" t="s">
        <v>29</v>
      </c>
      <c r="G20" s="10" t="s">
        <v>30</v>
      </c>
      <c r="K20" s="10" t="s">
        <v>4</v>
      </c>
      <c r="L20" s="10" t="s">
        <v>29</v>
      </c>
      <c r="M20" s="10" t="s">
        <v>30</v>
      </c>
    </row>
    <row r="21" spans="2:14" x14ac:dyDescent="0.2">
      <c r="B21" s="3" t="s">
        <v>31</v>
      </c>
      <c r="E21" s="9">
        <f>F21*E5</f>
        <v>1500</v>
      </c>
      <c r="F21" s="7">
        <f>L5</f>
        <v>6</v>
      </c>
      <c r="G21" s="8">
        <f>E21/E27</f>
        <v>0.58823529411764708</v>
      </c>
      <c r="H21" s="3" t="s">
        <v>32</v>
      </c>
      <c r="K21" s="9">
        <f>E8</f>
        <v>500</v>
      </c>
      <c r="L21" s="7">
        <f>K21/E5</f>
        <v>2</v>
      </c>
      <c r="M21" s="8">
        <f>K21/K27</f>
        <v>0.19607843137254902</v>
      </c>
    </row>
    <row r="22" spans="2:14" x14ac:dyDescent="0.2">
      <c r="B22" s="3" t="s">
        <v>11</v>
      </c>
      <c r="E22" s="9">
        <v>0</v>
      </c>
      <c r="F22" s="7">
        <v>0</v>
      </c>
      <c r="G22" s="8">
        <v>0</v>
      </c>
      <c r="H22" s="3" t="s">
        <v>33</v>
      </c>
      <c r="K22" s="9">
        <f>E9</f>
        <v>2000</v>
      </c>
      <c r="L22" s="7">
        <f>K22/E5</f>
        <v>8</v>
      </c>
      <c r="M22" s="8">
        <f>K22/K27</f>
        <v>0.78431372549019607</v>
      </c>
    </row>
    <row r="23" spans="2:14" x14ac:dyDescent="0.2">
      <c r="B23" s="3" t="s">
        <v>34</v>
      </c>
      <c r="E23" s="9">
        <f>SUM(E21:E22)</f>
        <v>1500</v>
      </c>
      <c r="F23" s="7">
        <f>SUM(F21:F22)</f>
        <v>6</v>
      </c>
      <c r="G23" s="8">
        <f>SUM(G21:G22)</f>
        <v>0.58823529411764708</v>
      </c>
      <c r="K23" s="9"/>
      <c r="M23" s="8"/>
    </row>
    <row r="24" spans="2:14" x14ac:dyDescent="0.2">
      <c r="E24" s="9"/>
      <c r="G24" s="8"/>
      <c r="H24" s="3" t="s">
        <v>20</v>
      </c>
      <c r="K24" s="9">
        <f>E10</f>
        <v>50</v>
      </c>
      <c r="L24" s="7">
        <f>K24/E5</f>
        <v>0.2</v>
      </c>
      <c r="M24" s="8">
        <f>K24/K27</f>
        <v>1.9607843137254902E-2</v>
      </c>
    </row>
    <row r="25" spans="2:14" x14ac:dyDescent="0.2">
      <c r="B25" s="3" t="s">
        <v>35</v>
      </c>
      <c r="E25" s="9">
        <f>E27-E23</f>
        <v>1050</v>
      </c>
      <c r="F25" s="7">
        <f>E25/E5</f>
        <v>4.2</v>
      </c>
      <c r="G25" s="8">
        <f>E25/E27</f>
        <v>0.41176470588235292</v>
      </c>
      <c r="K25" s="9"/>
      <c r="M25" s="8"/>
    </row>
    <row r="26" spans="2:14" x14ac:dyDescent="0.2">
      <c r="E26" s="9"/>
      <c r="K26" s="9"/>
      <c r="M26" s="8"/>
    </row>
    <row r="27" spans="2:14" x14ac:dyDescent="0.2">
      <c r="B27" s="3" t="s">
        <v>36</v>
      </c>
      <c r="E27" s="9">
        <f>E7+E10</f>
        <v>2550</v>
      </c>
      <c r="F27" s="7">
        <f>F25+F23</f>
        <v>10.199999999999999</v>
      </c>
      <c r="G27" s="8">
        <f>SUM(G23+G25)</f>
        <v>1</v>
      </c>
      <c r="H27" s="3" t="s">
        <v>37</v>
      </c>
      <c r="K27" s="9">
        <f>SUM(K21:K24)</f>
        <v>2550</v>
      </c>
      <c r="L27" s="11">
        <f>SUM(L21:L24)</f>
        <v>10.199999999999999</v>
      </c>
      <c r="M27" s="8">
        <f>SUM(M21:M24)</f>
        <v>1</v>
      </c>
    </row>
    <row r="29" spans="2:14" x14ac:dyDescent="0.2">
      <c r="B29" s="1" t="s">
        <v>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1" spans="2:14" x14ac:dyDescent="0.2">
      <c r="B31" s="1" t="s">
        <v>38</v>
      </c>
      <c r="C31" s="2"/>
      <c r="D31" s="2"/>
      <c r="E31" s="2"/>
      <c r="F31" s="2"/>
      <c r="G31" s="2"/>
      <c r="H31" s="4" t="s">
        <v>39</v>
      </c>
      <c r="I31" s="26" t="s">
        <v>40</v>
      </c>
      <c r="J31" s="4" t="s">
        <v>41</v>
      </c>
      <c r="K31" s="4" t="s">
        <v>42</v>
      </c>
      <c r="L31" s="4" t="s">
        <v>43</v>
      </c>
      <c r="M31" s="4" t="s">
        <v>44</v>
      </c>
      <c r="N31" s="12" t="s">
        <v>45</v>
      </c>
    </row>
    <row r="32" spans="2:14" x14ac:dyDescent="0.2">
      <c r="B32" s="3" t="s">
        <v>10</v>
      </c>
      <c r="H32" s="13">
        <f>I6</f>
        <v>1000</v>
      </c>
      <c r="I32" s="27">
        <f>H32*(1+I13)</f>
        <v>1070</v>
      </c>
      <c r="J32" s="13">
        <f>I32*(1+$I$13)</f>
        <v>1144.9000000000001</v>
      </c>
      <c r="K32" s="13">
        <f t="shared" ref="K32:L32" si="0">J32*(1+$I$13)</f>
        <v>1225.0430000000001</v>
      </c>
      <c r="L32" s="13">
        <f t="shared" si="0"/>
        <v>1310.7960100000003</v>
      </c>
      <c r="M32" s="13">
        <f>L32*(1+$I$13)</f>
        <v>1402.5517307000005</v>
      </c>
    </row>
    <row r="33" spans="2:13" x14ac:dyDescent="0.2">
      <c r="B33" s="22" t="s">
        <v>46</v>
      </c>
      <c r="H33" s="8"/>
      <c r="I33" s="28">
        <f>I32/H32-1</f>
        <v>7.0000000000000062E-2</v>
      </c>
      <c r="J33" s="8">
        <f t="shared" ref="J33:M33" si="1">J32/I32-1</f>
        <v>7.0000000000000062E-2</v>
      </c>
      <c r="K33" s="8">
        <f t="shared" si="1"/>
        <v>7.0000000000000062E-2</v>
      </c>
      <c r="L33" s="8">
        <f t="shared" si="1"/>
        <v>7.0000000000000062E-2</v>
      </c>
      <c r="M33" s="8">
        <f t="shared" si="1"/>
        <v>7.0000000000000062E-2</v>
      </c>
    </row>
    <row r="34" spans="2:13" x14ac:dyDescent="0.2">
      <c r="H34" s="9"/>
      <c r="I34" s="29"/>
      <c r="J34" s="9"/>
      <c r="K34" s="9"/>
      <c r="L34" s="9"/>
      <c r="M34" s="9"/>
    </row>
    <row r="35" spans="2:13" x14ac:dyDescent="0.2">
      <c r="B35" s="3" t="s">
        <v>47</v>
      </c>
      <c r="H35" s="9">
        <f>I7</f>
        <v>250</v>
      </c>
      <c r="I35" s="29">
        <f>I32*I36</f>
        <v>278.2</v>
      </c>
      <c r="J35" s="9">
        <f t="shared" ref="J35:L35" si="2">J32*J36</f>
        <v>309.12300000000005</v>
      </c>
      <c r="K35" s="9">
        <f t="shared" si="2"/>
        <v>343.01204000000007</v>
      </c>
      <c r="L35" s="9">
        <f t="shared" si="2"/>
        <v>380.13084290000012</v>
      </c>
      <c r="M35" s="9">
        <f>M32*M36</f>
        <v>420.76551921000021</v>
      </c>
    </row>
    <row r="36" spans="2:13" x14ac:dyDescent="0.2">
      <c r="B36" s="15" t="s">
        <v>48</v>
      </c>
      <c r="H36" s="8">
        <f>H35/H32</f>
        <v>0.25</v>
      </c>
      <c r="I36" s="28">
        <f>H36+$I$14</f>
        <v>0.26</v>
      </c>
      <c r="J36" s="8">
        <f t="shared" ref="J36:M36" si="3">I36+$I$14</f>
        <v>0.27</v>
      </c>
      <c r="K36" s="8">
        <f t="shared" si="3"/>
        <v>0.28000000000000003</v>
      </c>
      <c r="L36" s="8">
        <f t="shared" si="3"/>
        <v>0.29000000000000004</v>
      </c>
      <c r="M36" s="8">
        <f t="shared" si="3"/>
        <v>0.30000000000000004</v>
      </c>
    </row>
    <row r="37" spans="2:13" x14ac:dyDescent="0.2">
      <c r="H37" s="9"/>
      <c r="I37" s="29"/>
      <c r="J37" s="9"/>
      <c r="K37" s="9"/>
      <c r="L37" s="9"/>
      <c r="M37" s="9"/>
    </row>
    <row r="38" spans="2:13" x14ac:dyDescent="0.2">
      <c r="B38" s="3" t="s">
        <v>49</v>
      </c>
      <c r="H38" s="9">
        <f>H35-H65</f>
        <v>250</v>
      </c>
      <c r="I38" s="29">
        <f>I35-I53</f>
        <v>224.7</v>
      </c>
      <c r="J38" s="9">
        <f t="shared" ref="J38:M38" si="4">J35-J53</f>
        <v>251.87800000000004</v>
      </c>
      <c r="K38" s="9">
        <f t="shared" si="4"/>
        <v>281.75989000000004</v>
      </c>
      <c r="L38" s="9">
        <f t="shared" si="4"/>
        <v>314.59104240000011</v>
      </c>
      <c r="M38" s="9">
        <f t="shared" si="4"/>
        <v>350.63793267500017</v>
      </c>
    </row>
    <row r="39" spans="2:13" x14ac:dyDescent="0.2">
      <c r="B39" s="15" t="s">
        <v>48</v>
      </c>
      <c r="H39" s="8">
        <f>H38/H32</f>
        <v>0.25</v>
      </c>
      <c r="I39" s="28">
        <f>I38/I32</f>
        <v>0.21</v>
      </c>
      <c r="J39" s="8">
        <f>J38/J32</f>
        <v>0.22000000000000003</v>
      </c>
      <c r="K39" s="8">
        <f>K38/K32</f>
        <v>0.23</v>
      </c>
      <c r="L39" s="8">
        <f t="shared" ref="L39:M39" si="5">L38/L32</f>
        <v>0.24000000000000005</v>
      </c>
      <c r="M39" s="8">
        <f t="shared" si="5"/>
        <v>0.25000000000000006</v>
      </c>
    </row>
    <row r="40" spans="2:13" x14ac:dyDescent="0.2">
      <c r="H40" s="9"/>
      <c r="I40" s="29"/>
      <c r="J40" s="9"/>
      <c r="K40" s="9"/>
      <c r="L40" s="9"/>
      <c r="M40" s="9"/>
    </row>
    <row r="41" spans="2:13" x14ac:dyDescent="0.2">
      <c r="B41" s="3" t="s">
        <v>50</v>
      </c>
      <c r="H41" s="9"/>
      <c r="I41" s="29">
        <f>I73</f>
        <v>90</v>
      </c>
      <c r="J41" s="9">
        <f>J73</f>
        <v>85.640219999999999</v>
      </c>
      <c r="K41" s="9">
        <f t="shared" ref="K41:M41" si="6">K73</f>
        <v>79.927299227999995</v>
      </c>
      <c r="L41" s="9">
        <f t="shared" si="6"/>
        <v>72.678856925407189</v>
      </c>
      <c r="M41" s="9">
        <f t="shared" si="6"/>
        <v>63.692931408911477</v>
      </c>
    </row>
    <row r="42" spans="2:13" x14ac:dyDescent="0.2">
      <c r="H42" s="9"/>
      <c r="I42" s="29"/>
      <c r="J42" s="9"/>
      <c r="K42" s="9"/>
      <c r="L42" s="9"/>
      <c r="M42" s="9"/>
    </row>
    <row r="43" spans="2:13" x14ac:dyDescent="0.2">
      <c r="B43" s="3" t="s">
        <v>51</v>
      </c>
      <c r="H43" s="9"/>
      <c r="I43" s="29">
        <f>I38-I41</f>
        <v>134.69999999999999</v>
      </c>
      <c r="J43" s="9">
        <f>J38-J41</f>
        <v>166.23778000000004</v>
      </c>
      <c r="K43" s="9">
        <f t="shared" ref="K43:M43" si="7">K38-K41</f>
        <v>201.83259077200006</v>
      </c>
      <c r="L43" s="9">
        <f>L38-L41</f>
        <v>241.91218547459292</v>
      </c>
      <c r="M43" s="9">
        <f t="shared" si="7"/>
        <v>286.9450012660887</v>
      </c>
    </row>
    <row r="44" spans="2:13" x14ac:dyDescent="0.2">
      <c r="B44" s="15" t="s">
        <v>48</v>
      </c>
      <c r="H44" s="8"/>
      <c r="I44" s="28">
        <f>I43/I32</f>
        <v>0.1258878504672897</v>
      </c>
      <c r="J44" s="8">
        <f>J43/J32</f>
        <v>0.14519851515416196</v>
      </c>
      <c r="K44" s="8">
        <f t="shared" ref="K44:M44" si="8">K43/K32</f>
        <v>0.16475551533456381</v>
      </c>
      <c r="L44" s="8">
        <f t="shared" si="8"/>
        <v>0.18455364803451979</v>
      </c>
      <c r="M44" s="8">
        <f t="shared" si="8"/>
        <v>0.20458782017464491</v>
      </c>
    </row>
    <row r="45" spans="2:13" x14ac:dyDescent="0.2">
      <c r="H45" s="9"/>
      <c r="I45" s="29"/>
      <c r="J45" s="9"/>
      <c r="K45" s="9"/>
      <c r="L45" s="9"/>
      <c r="M45" s="9"/>
    </row>
    <row r="46" spans="2:13" x14ac:dyDescent="0.2">
      <c r="B46" s="3" t="s">
        <v>52</v>
      </c>
      <c r="H46" s="9"/>
      <c r="I46" s="29">
        <f>I43*I47</f>
        <v>28.286999999999995</v>
      </c>
      <c r="J46" s="9">
        <f>J47*J43</f>
        <v>34.909933800000005</v>
      </c>
      <c r="K46" s="9">
        <f t="shared" ref="K46:M46" si="9">K47*K43</f>
        <v>42.38484406212001</v>
      </c>
      <c r="L46" s="9">
        <f t="shared" si="9"/>
        <v>50.801558949664511</v>
      </c>
      <c r="M46" s="9">
        <f t="shared" si="9"/>
        <v>60.258450265878622</v>
      </c>
    </row>
    <row r="47" spans="2:13" x14ac:dyDescent="0.2">
      <c r="B47" s="15" t="s">
        <v>53</v>
      </c>
      <c r="H47" s="8"/>
      <c r="I47" s="28">
        <f>I15</f>
        <v>0.21</v>
      </c>
      <c r="J47" s="8">
        <f>$I$15</f>
        <v>0.21</v>
      </c>
      <c r="K47" s="8">
        <f t="shared" ref="K47:M47" si="10">$I$15</f>
        <v>0.21</v>
      </c>
      <c r="L47" s="8">
        <f t="shared" si="10"/>
        <v>0.21</v>
      </c>
      <c r="M47" s="8">
        <f t="shared" si="10"/>
        <v>0.21</v>
      </c>
    </row>
    <row r="48" spans="2:13" x14ac:dyDescent="0.2">
      <c r="H48" s="9"/>
      <c r="I48" s="29"/>
      <c r="J48" s="9"/>
      <c r="K48" s="9"/>
      <c r="L48" s="9"/>
      <c r="M48" s="9"/>
    </row>
    <row r="49" spans="2:13" x14ac:dyDescent="0.2">
      <c r="B49" s="3" t="s">
        <v>54</v>
      </c>
      <c r="H49" s="9"/>
      <c r="I49" s="29">
        <f>I43-I46</f>
        <v>106.413</v>
      </c>
      <c r="J49" s="9">
        <f>J43-J46</f>
        <v>131.32784620000004</v>
      </c>
      <c r="K49" s="9">
        <f t="shared" ref="K49:M49" si="11">K43-K46</f>
        <v>159.44774670988005</v>
      </c>
      <c r="L49" s="9">
        <f t="shared" si="11"/>
        <v>191.11062652492842</v>
      </c>
      <c r="M49" s="9">
        <f t="shared" si="11"/>
        <v>226.68655100021007</v>
      </c>
    </row>
    <row r="50" spans="2:13" x14ac:dyDescent="0.2">
      <c r="B50" s="15" t="s">
        <v>55</v>
      </c>
      <c r="I50" s="28">
        <f>I49/I32</f>
        <v>9.9451401869158879E-2</v>
      </c>
      <c r="J50" s="8">
        <f>J49/J32</f>
        <v>0.11470682697178795</v>
      </c>
      <c r="K50" s="8">
        <f t="shared" ref="K50:M50" si="12">K49/K32</f>
        <v>0.13015685711430541</v>
      </c>
      <c r="L50" s="8">
        <f t="shared" si="12"/>
        <v>0.14579738194727063</v>
      </c>
      <c r="M50" s="8">
        <f t="shared" si="12"/>
        <v>0.16162437793796949</v>
      </c>
    </row>
    <row r="51" spans="2:13" x14ac:dyDescent="0.2">
      <c r="I51" s="30"/>
    </row>
    <row r="52" spans="2:13" x14ac:dyDescent="0.2">
      <c r="B52" s="1" t="s">
        <v>56</v>
      </c>
      <c r="C52" s="2"/>
      <c r="D52" s="2"/>
      <c r="E52" s="2"/>
      <c r="F52" s="2"/>
      <c r="G52" s="2"/>
      <c r="H52" s="4" t="str">
        <f>H31</f>
        <v>Y0</v>
      </c>
      <c r="I52" s="26" t="str">
        <f t="shared" ref="I52:M52" si="13">I31</f>
        <v>Y1</v>
      </c>
      <c r="J52" s="4" t="str">
        <f t="shared" si="13"/>
        <v>Y2</v>
      </c>
      <c r="K52" s="4" t="str">
        <f t="shared" si="13"/>
        <v>Y3</v>
      </c>
      <c r="L52" s="4" t="str">
        <f t="shared" si="13"/>
        <v>Y4</v>
      </c>
      <c r="M52" s="4" t="str">
        <f t="shared" si="13"/>
        <v>Y5</v>
      </c>
    </row>
    <row r="53" spans="2:13" x14ac:dyDescent="0.2">
      <c r="B53" s="3" t="s">
        <v>57</v>
      </c>
      <c r="G53" s="9"/>
      <c r="H53" s="9">
        <f>I8</f>
        <v>50</v>
      </c>
      <c r="I53" s="29">
        <f>I54*I32</f>
        <v>53.5</v>
      </c>
      <c r="J53" s="9">
        <f t="shared" ref="J53:M53" si="14">J54*J32</f>
        <v>57.245000000000005</v>
      </c>
      <c r="K53" s="9">
        <f t="shared" si="14"/>
        <v>61.252150000000007</v>
      </c>
      <c r="L53" s="9">
        <f t="shared" si="14"/>
        <v>65.539800500000013</v>
      </c>
      <c r="M53" s="9">
        <f t="shared" si="14"/>
        <v>70.12758653500002</v>
      </c>
    </row>
    <row r="54" spans="2:13" x14ac:dyDescent="0.2">
      <c r="B54" s="15" t="s">
        <v>55</v>
      </c>
      <c r="H54" s="8">
        <f>H53/H32</f>
        <v>0.05</v>
      </c>
      <c r="I54" s="28">
        <f>H54</f>
        <v>0.05</v>
      </c>
      <c r="J54" s="8">
        <f>I54</f>
        <v>0.05</v>
      </c>
      <c r="K54" s="8">
        <f>J54</f>
        <v>0.05</v>
      </c>
      <c r="L54" s="8">
        <f>K54</f>
        <v>0.05</v>
      </c>
      <c r="M54" s="8">
        <f>L54</f>
        <v>0.05</v>
      </c>
    </row>
    <row r="55" spans="2:13" x14ac:dyDescent="0.2">
      <c r="I55" s="30"/>
    </row>
    <row r="56" spans="2:13" x14ac:dyDescent="0.2">
      <c r="B56" s="3" t="s">
        <v>58</v>
      </c>
      <c r="H56" s="9">
        <f>I10</f>
        <v>100</v>
      </c>
      <c r="I56" s="29">
        <f>I57*I32</f>
        <v>107</v>
      </c>
      <c r="J56" s="9">
        <f t="shared" ref="J56:M56" si="15">J57*J32</f>
        <v>114.49000000000001</v>
      </c>
      <c r="K56" s="9">
        <f t="shared" si="15"/>
        <v>122.50430000000001</v>
      </c>
      <c r="L56" s="9">
        <f t="shared" si="15"/>
        <v>131.07960100000003</v>
      </c>
      <c r="M56" s="9">
        <f t="shared" si="15"/>
        <v>140.25517307000004</v>
      </c>
    </row>
    <row r="57" spans="2:13" x14ac:dyDescent="0.2">
      <c r="B57" s="15" t="s">
        <v>55</v>
      </c>
      <c r="H57" s="8">
        <f>H56/H32</f>
        <v>0.1</v>
      </c>
      <c r="I57" s="28">
        <f>H57</f>
        <v>0.1</v>
      </c>
      <c r="J57" s="8">
        <f>I57</f>
        <v>0.1</v>
      </c>
      <c r="K57" s="8">
        <f>J57</f>
        <v>0.1</v>
      </c>
      <c r="L57" s="8">
        <f>K57</f>
        <v>0.1</v>
      </c>
      <c r="M57" s="8">
        <f>L57</f>
        <v>0.1</v>
      </c>
    </row>
    <row r="58" spans="2:13" x14ac:dyDescent="0.2">
      <c r="B58" s="15" t="s">
        <v>59</v>
      </c>
      <c r="H58" s="25"/>
      <c r="I58" s="31">
        <f>I56-H56</f>
        <v>7</v>
      </c>
      <c r="J58" s="25">
        <f t="shared" ref="J58:M58" si="16">J56-I56</f>
        <v>7.4900000000000091</v>
      </c>
      <c r="K58" s="25">
        <f t="shared" si="16"/>
        <v>8.0143000000000058</v>
      </c>
      <c r="L58" s="25">
        <f t="shared" si="16"/>
        <v>8.5753010000000103</v>
      </c>
      <c r="M58" s="25">
        <f t="shared" si="16"/>
        <v>9.1755720700000154</v>
      </c>
    </row>
    <row r="59" spans="2:13" x14ac:dyDescent="0.2">
      <c r="I59" s="30"/>
    </row>
    <row r="60" spans="2:13" x14ac:dyDescent="0.2">
      <c r="B60" s="3" t="s">
        <v>60</v>
      </c>
      <c r="H60" s="9">
        <f>I9</f>
        <v>75</v>
      </c>
      <c r="I60" s="29">
        <f>I61*I32</f>
        <v>80.25</v>
      </c>
      <c r="J60" s="9">
        <f t="shared" ref="J60:M60" si="17">J61*J32</f>
        <v>85.867500000000007</v>
      </c>
      <c r="K60" s="9">
        <f t="shared" si="17"/>
        <v>91.878225</v>
      </c>
      <c r="L60" s="9">
        <f t="shared" si="17"/>
        <v>98.309700750000019</v>
      </c>
      <c r="M60" s="9">
        <f t="shared" si="17"/>
        <v>105.19137980250004</v>
      </c>
    </row>
    <row r="61" spans="2:13" x14ac:dyDescent="0.2">
      <c r="B61" s="15" t="s">
        <v>55</v>
      </c>
      <c r="H61" s="8">
        <f>H60/H32</f>
        <v>7.4999999999999997E-2</v>
      </c>
      <c r="I61" s="28">
        <f>H61</f>
        <v>7.4999999999999997E-2</v>
      </c>
      <c r="J61" s="8">
        <f>I61</f>
        <v>7.4999999999999997E-2</v>
      </c>
      <c r="K61" s="8">
        <f>J61</f>
        <v>7.4999999999999997E-2</v>
      </c>
      <c r="L61" s="8">
        <f>K61</f>
        <v>7.4999999999999997E-2</v>
      </c>
      <c r="M61" s="8">
        <f>L61</f>
        <v>7.4999999999999997E-2</v>
      </c>
    </row>
    <row r="62" spans="2:13" x14ac:dyDescent="0.2">
      <c r="I62" s="30"/>
    </row>
    <row r="63" spans="2:13" x14ac:dyDescent="0.2">
      <c r="B63" s="1" t="s">
        <v>61</v>
      </c>
      <c r="C63" s="2"/>
      <c r="D63" s="2"/>
      <c r="E63" s="2"/>
      <c r="F63" s="2"/>
      <c r="G63" s="2"/>
      <c r="H63" s="4" t="str">
        <f>H52</f>
        <v>Y0</v>
      </c>
      <c r="I63" s="26" t="str">
        <f t="shared" ref="I63:M63" si="18">I52</f>
        <v>Y1</v>
      </c>
      <c r="J63" s="4" t="str">
        <f t="shared" si="18"/>
        <v>Y2</v>
      </c>
      <c r="K63" s="4" t="str">
        <f t="shared" si="18"/>
        <v>Y3</v>
      </c>
      <c r="L63" s="4" t="str">
        <f t="shared" si="18"/>
        <v>Y4</v>
      </c>
      <c r="M63" s="4" t="str">
        <f t="shared" si="18"/>
        <v>Y5</v>
      </c>
    </row>
    <row r="64" spans="2:13" x14ac:dyDescent="0.2">
      <c r="B64" s="3" t="s">
        <v>54</v>
      </c>
      <c r="H64" s="9"/>
      <c r="I64" s="29">
        <f t="shared" ref="I64:M64" si="19">I49</f>
        <v>106.413</v>
      </c>
      <c r="J64" s="9">
        <f t="shared" si="19"/>
        <v>131.32784620000004</v>
      </c>
      <c r="K64" s="9">
        <f t="shared" si="19"/>
        <v>159.44774670988005</v>
      </c>
      <c r="L64" s="9">
        <f t="shared" si="19"/>
        <v>191.11062652492842</v>
      </c>
      <c r="M64" s="9">
        <f t="shared" si="19"/>
        <v>226.68655100021007</v>
      </c>
    </row>
    <row r="65" spans="2:13" x14ac:dyDescent="0.2">
      <c r="B65" s="3" t="s">
        <v>14</v>
      </c>
      <c r="H65" s="9"/>
      <c r="I65" s="29">
        <f>I53</f>
        <v>53.5</v>
      </c>
      <c r="J65" s="9">
        <f>J53</f>
        <v>57.245000000000005</v>
      </c>
      <c r="K65" s="9">
        <f t="shared" ref="K65:M65" si="20">K53</f>
        <v>61.252150000000007</v>
      </c>
      <c r="L65" s="9">
        <f t="shared" si="20"/>
        <v>65.539800500000013</v>
      </c>
      <c r="M65" s="9">
        <f t="shared" si="20"/>
        <v>70.12758653500002</v>
      </c>
    </row>
    <row r="66" spans="2:13" x14ac:dyDescent="0.2">
      <c r="B66" s="3" t="s">
        <v>60</v>
      </c>
      <c r="H66" s="9"/>
      <c r="I66" s="29">
        <f>I60</f>
        <v>80.25</v>
      </c>
      <c r="J66" s="9">
        <f>J60</f>
        <v>85.867500000000007</v>
      </c>
      <c r="K66" s="9">
        <f t="shared" ref="K66:M66" si="21">K60</f>
        <v>91.878225</v>
      </c>
      <c r="L66" s="9">
        <f t="shared" si="21"/>
        <v>98.309700750000019</v>
      </c>
      <c r="M66" s="9">
        <f t="shared" si="21"/>
        <v>105.19137980250004</v>
      </c>
    </row>
    <row r="67" spans="2:13" x14ac:dyDescent="0.2">
      <c r="B67" s="3" t="s">
        <v>62</v>
      </c>
      <c r="H67" s="8"/>
      <c r="I67" s="29">
        <f>I58</f>
        <v>7</v>
      </c>
      <c r="J67" s="9">
        <f t="shared" ref="J67:M67" si="22">J58</f>
        <v>7.4900000000000091</v>
      </c>
      <c r="K67" s="9">
        <f t="shared" si="22"/>
        <v>8.0143000000000058</v>
      </c>
      <c r="L67" s="9">
        <f t="shared" si="22"/>
        <v>8.5753010000000103</v>
      </c>
      <c r="M67" s="9">
        <f t="shared" si="22"/>
        <v>9.1755720700000154</v>
      </c>
    </row>
    <row r="68" spans="2:13" x14ac:dyDescent="0.2">
      <c r="B68" s="3" t="s">
        <v>63</v>
      </c>
      <c r="I68" s="32">
        <f>I64+I65-I66-I67</f>
        <v>72.663000000000011</v>
      </c>
      <c r="J68" s="14">
        <f>J64+J65-J66-J67</f>
        <v>95.215346200000027</v>
      </c>
      <c r="K68" s="14">
        <f t="shared" ref="K68:M68" si="23">K64+K65-K66-K67</f>
        <v>120.80737170988003</v>
      </c>
      <c r="L68" s="14">
        <f t="shared" si="23"/>
        <v>149.76542527492842</v>
      </c>
      <c r="M68" s="14">
        <f t="shared" si="23"/>
        <v>182.44718566271004</v>
      </c>
    </row>
    <row r="69" spans="2:13" x14ac:dyDescent="0.2">
      <c r="I69" s="30"/>
    </row>
    <row r="70" spans="2:13" x14ac:dyDescent="0.2">
      <c r="B70" s="1" t="s">
        <v>64</v>
      </c>
      <c r="C70" s="1"/>
      <c r="D70" s="1"/>
      <c r="E70" s="1"/>
      <c r="F70" s="1"/>
      <c r="G70" s="1"/>
      <c r="H70" s="4" t="str">
        <f>H63</f>
        <v>Y0</v>
      </c>
      <c r="I70" s="26" t="str">
        <f t="shared" ref="I70:M70" si="24">I63</f>
        <v>Y1</v>
      </c>
      <c r="J70" s="4" t="str">
        <f t="shared" si="24"/>
        <v>Y2</v>
      </c>
      <c r="K70" s="4" t="str">
        <f t="shared" si="24"/>
        <v>Y3</v>
      </c>
      <c r="L70" s="4" t="str">
        <f t="shared" si="24"/>
        <v>Y4</v>
      </c>
      <c r="M70" s="4" t="str">
        <f t="shared" si="24"/>
        <v>Y5</v>
      </c>
    </row>
    <row r="71" spans="2:13" x14ac:dyDescent="0.2">
      <c r="B71" s="3" t="s">
        <v>31</v>
      </c>
      <c r="I71" s="29"/>
    </row>
    <row r="72" spans="2:13" x14ac:dyDescent="0.2">
      <c r="B72" s="15" t="s">
        <v>65</v>
      </c>
      <c r="I72" s="33">
        <f>E21</f>
        <v>1500</v>
      </c>
      <c r="J72" s="34">
        <f>I75</f>
        <v>1427.337</v>
      </c>
      <c r="K72" s="34">
        <f>J75</f>
        <v>1332.1216537999999</v>
      </c>
      <c r="L72" s="34">
        <f>K75</f>
        <v>1211.3142820901198</v>
      </c>
      <c r="M72" s="34">
        <f>L75</f>
        <v>1061.5488568151914</v>
      </c>
    </row>
    <row r="73" spans="2:13" x14ac:dyDescent="0.2">
      <c r="B73" s="15" t="s">
        <v>50</v>
      </c>
      <c r="I73" s="33">
        <f>I72*$M$5</f>
        <v>90</v>
      </c>
      <c r="J73" s="34">
        <f>J72*$M$5</f>
        <v>85.640219999999999</v>
      </c>
      <c r="K73" s="34">
        <f t="shared" ref="K73:L73" si="25">K72*$M$5</f>
        <v>79.927299227999995</v>
      </c>
      <c r="L73" s="34">
        <f t="shared" si="25"/>
        <v>72.678856925407189</v>
      </c>
      <c r="M73" s="34">
        <f>M72*$M$5</f>
        <v>63.692931408911477</v>
      </c>
    </row>
    <row r="74" spans="2:13" x14ac:dyDescent="0.2">
      <c r="B74" s="15" t="s">
        <v>66</v>
      </c>
      <c r="I74" s="33">
        <f>MIN(I68,I73)</f>
        <v>72.663000000000011</v>
      </c>
      <c r="J74" s="34">
        <f>J68</f>
        <v>95.215346200000027</v>
      </c>
      <c r="K74" s="34">
        <f t="shared" ref="K74:M74" si="26">K68</f>
        <v>120.80737170988003</v>
      </c>
      <c r="L74" s="34">
        <f t="shared" si="26"/>
        <v>149.76542527492842</v>
      </c>
      <c r="M74" s="34">
        <f t="shared" si="26"/>
        <v>182.44718566271004</v>
      </c>
    </row>
    <row r="75" spans="2:13" x14ac:dyDescent="0.2">
      <c r="B75" s="16" t="s">
        <v>67</v>
      </c>
      <c r="H75" s="14"/>
      <c r="I75" s="32">
        <f>I72-I74</f>
        <v>1427.337</v>
      </c>
      <c r="J75" s="14">
        <f>J72-J74</f>
        <v>1332.1216537999999</v>
      </c>
      <c r="K75" s="14">
        <f t="shared" ref="K75:M75" si="27">K72-K74</f>
        <v>1211.3142820901198</v>
      </c>
      <c r="L75" s="14">
        <f t="shared" si="27"/>
        <v>1061.5488568151914</v>
      </c>
      <c r="M75" s="14">
        <f t="shared" si="27"/>
        <v>879.10167115248134</v>
      </c>
    </row>
    <row r="76" spans="2:13" x14ac:dyDescent="0.2">
      <c r="I76" s="35"/>
      <c r="J76" s="5"/>
      <c r="K76" s="5"/>
      <c r="L76" s="5"/>
      <c r="M76" s="5"/>
    </row>
    <row r="77" spans="2:13" x14ac:dyDescent="0.2">
      <c r="B77" s="16" t="s">
        <v>11</v>
      </c>
      <c r="I77" s="36" t="s">
        <v>79</v>
      </c>
      <c r="J77" s="37" t="s">
        <v>79</v>
      </c>
      <c r="K77" s="37" t="s">
        <v>79</v>
      </c>
      <c r="L77" s="37" t="s">
        <v>79</v>
      </c>
      <c r="M77" s="37" t="s">
        <v>79</v>
      </c>
    </row>
    <row r="78" spans="2:13" x14ac:dyDescent="0.2">
      <c r="B78" s="15" t="s">
        <v>65</v>
      </c>
      <c r="I78" s="36" t="s">
        <v>79</v>
      </c>
      <c r="J78" s="38" t="s">
        <v>79</v>
      </c>
      <c r="K78" s="38" t="s">
        <v>79</v>
      </c>
      <c r="L78" s="38" t="s">
        <v>79</v>
      </c>
      <c r="M78" s="38" t="s">
        <v>79</v>
      </c>
    </row>
    <row r="79" spans="2:13" x14ac:dyDescent="0.2">
      <c r="B79" s="15" t="s">
        <v>50</v>
      </c>
      <c r="I79" s="36" t="s">
        <v>79</v>
      </c>
      <c r="J79" s="38" t="s">
        <v>79</v>
      </c>
      <c r="K79" s="38" t="s">
        <v>79</v>
      </c>
      <c r="L79" s="38" t="s">
        <v>79</v>
      </c>
      <c r="M79" s="38" t="s">
        <v>79</v>
      </c>
    </row>
    <row r="80" spans="2:13" x14ac:dyDescent="0.2">
      <c r="B80" s="15" t="s">
        <v>66</v>
      </c>
      <c r="I80" s="36" t="s">
        <v>79</v>
      </c>
      <c r="J80" s="38" t="s">
        <v>79</v>
      </c>
      <c r="K80" s="38" t="s">
        <v>79</v>
      </c>
      <c r="L80" s="38" t="s">
        <v>79</v>
      </c>
      <c r="M80" s="38" t="s">
        <v>79</v>
      </c>
    </row>
    <row r="81" spans="2:13" x14ac:dyDescent="0.2">
      <c r="B81" s="16" t="s">
        <v>67</v>
      </c>
      <c r="H81" s="14"/>
      <c r="I81" s="36" t="s">
        <v>79</v>
      </c>
      <c r="J81" s="13" t="s">
        <v>79</v>
      </c>
      <c r="K81" s="13" t="s">
        <v>79</v>
      </c>
      <c r="L81" s="13" t="s">
        <v>79</v>
      </c>
      <c r="M81" s="13" t="s">
        <v>79</v>
      </c>
    </row>
    <row r="82" spans="2:13" x14ac:dyDescent="0.2">
      <c r="B82" s="16" t="s">
        <v>67</v>
      </c>
      <c r="H82" s="14"/>
      <c r="I82" s="36" t="s">
        <v>79</v>
      </c>
      <c r="J82" s="13" t="s">
        <v>79</v>
      </c>
      <c r="K82" s="13" t="s">
        <v>79</v>
      </c>
      <c r="L82" s="13" t="s">
        <v>79</v>
      </c>
      <c r="M82" s="13" t="s">
        <v>79</v>
      </c>
    </row>
    <row r="83" spans="2:13" x14ac:dyDescent="0.2">
      <c r="I83" s="5"/>
      <c r="J83" s="5"/>
      <c r="K83" s="5"/>
      <c r="L83" s="5"/>
      <c r="M83" s="5"/>
    </row>
    <row r="84" spans="2:13" x14ac:dyDescent="0.2">
      <c r="B84" s="17"/>
      <c r="C84" s="17"/>
      <c r="D84" s="17"/>
      <c r="E84" s="17"/>
      <c r="F84" s="17"/>
      <c r="G84" s="17"/>
      <c r="H84" s="18"/>
      <c r="I84" s="18"/>
      <c r="J84" s="18"/>
      <c r="K84" s="18"/>
      <c r="L84" s="18"/>
      <c r="M84" s="18"/>
    </row>
    <row r="85" spans="2:13" x14ac:dyDescent="0.2">
      <c r="B85" s="3" t="s">
        <v>68</v>
      </c>
      <c r="I85" s="5"/>
      <c r="J85" s="5"/>
      <c r="K85" s="5"/>
      <c r="L85" s="5"/>
      <c r="M85" s="34">
        <f>M35</f>
        <v>420.76551921000021</v>
      </c>
    </row>
    <row r="86" spans="2:13" x14ac:dyDescent="0.2">
      <c r="B86" s="3" t="s">
        <v>69</v>
      </c>
      <c r="M86" s="7">
        <f>E13</f>
        <v>10</v>
      </c>
    </row>
    <row r="87" spans="2:13" x14ac:dyDescent="0.2">
      <c r="B87" s="3" t="s">
        <v>70</v>
      </c>
      <c r="M87" s="9">
        <f>M86*M85</f>
        <v>4207.6551921000018</v>
      </c>
    </row>
    <row r="88" spans="2:13" x14ac:dyDescent="0.2">
      <c r="B88" s="3" t="s">
        <v>71</v>
      </c>
      <c r="M88" s="9">
        <f>M75</f>
        <v>879.10167115248134</v>
      </c>
    </row>
    <row r="89" spans="2:13" x14ac:dyDescent="0.2">
      <c r="B89" s="3" t="s">
        <v>72</v>
      </c>
      <c r="M89" s="9">
        <f>M87-M88</f>
        <v>3328.5535209475206</v>
      </c>
    </row>
    <row r="91" spans="2:13" x14ac:dyDescent="0.2">
      <c r="B91" s="3" t="s">
        <v>73</v>
      </c>
      <c r="M91" s="9">
        <f>E25</f>
        <v>1050</v>
      </c>
    </row>
    <row r="93" spans="2:13" x14ac:dyDescent="0.2">
      <c r="B93" s="3" t="s">
        <v>74</v>
      </c>
      <c r="M93" s="41">
        <f>M89/M91</f>
        <v>3.170050972330972</v>
      </c>
    </row>
    <row r="94" spans="2:13" x14ac:dyDescent="0.2">
      <c r="B94" s="3" t="s">
        <v>18</v>
      </c>
      <c r="M94" s="42">
        <f>M93^(1/5)-1</f>
        <v>0.25954372639403367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DAED-3DBC-CC48-AF0E-EC67EFCCB3E7}">
  <dimension ref="A1"/>
  <sheetViews>
    <sheetView showGridLines="0" topLeftCell="A13" zoomScale="162" workbookViewId="0">
      <selection activeCell="G27" sqref="G27"/>
    </sheetView>
  </sheetViews>
  <sheetFormatPr baseColWidth="10" defaultRowHeight="16" x14ac:dyDescent="0.2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5Y LBO</vt:lpstr>
      <vt:lpstr>FYI (Q1 26 EBITDA COMPS)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Schüürmann</dc:creator>
  <cp:lastModifiedBy>Oliver Schüürmann</cp:lastModifiedBy>
  <dcterms:created xsi:type="dcterms:W3CDTF">2026-04-05T09:05:57Z</dcterms:created>
  <dcterms:modified xsi:type="dcterms:W3CDTF">2026-04-05T18:13:08Z</dcterms:modified>
</cp:coreProperties>
</file>